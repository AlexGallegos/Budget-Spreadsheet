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527" codeName="{564CA151-5A5B-428A-3C10-775976492406}"/>
  <workbookPr codeName="ThisWorkbook" defaultThemeVersion="124226"/>
  <mc:AlternateContent xmlns:mc="http://schemas.openxmlformats.org/markup-compatibility/2006">
    <mc:Choice Requires="x15">
      <x15ac:absPath xmlns:x15ac="http://schemas.microsoft.com/office/spreadsheetml/2010/11/ac" url="C:\Users\agallegos\Dropbox\Financial\"/>
    </mc:Choice>
  </mc:AlternateContent>
  <xr:revisionPtr revIDLastSave="0" documentId="13_ncr:1_{0F90EB88-852E-4531-953B-943453DDBDAF}" xr6:coauthVersionLast="45" xr6:coauthVersionMax="45" xr10:uidLastSave="{00000000-0000-0000-0000-000000000000}"/>
  <bookViews>
    <workbookView xWindow="-120" yWindow="-120" windowWidth="29040" windowHeight="15990" activeTab="1" xr2:uid="{00000000-000D-0000-FFFF-FFFF00000000}"/>
  </bookViews>
  <sheets>
    <sheet name="How To Use This Sheet" sheetId="9" r:id="rId1"/>
    <sheet name="Variables" sheetId="6" r:id="rId2"/>
    <sheet name="Monthly Rundown" sheetId="1" r:id="rId3"/>
    <sheet name="Loan Amortization Schedule" sheetId="8" r:id="rId4"/>
    <sheet name="Expense Tracker" sheetId="7" r:id="rId5"/>
  </sheets>
  <definedNames>
    <definedName name="_xlnm._FilterDatabase" localSheetId="2" hidden="1">'Monthly Rundown'!$T$1:$T$197</definedName>
    <definedName name="Beg_Bal">'Loan Amortization Schedule'!$C$18:$C$497</definedName>
    <definedName name="CASH">SUM('Monthly Rundown'!$B$2:$B$11)</definedName>
    <definedName name="Cum_Int">'Loan Amortization Schedule'!$J$18:$J$497</definedName>
    <definedName name="Data">'Loan Amortization Schedule'!$A$18:$J$497</definedName>
    <definedName name="End_Bal">'Loan Amortization Schedule'!$I$18:$I$497</definedName>
    <definedName name="Extra_Pay">'Loan Amortization Schedule'!$E$18:$E$497</definedName>
    <definedName name="Full_Print">'Loan Amortization Schedule'!$A$1:$J$497</definedName>
    <definedName name="Header_Row">ROW('Loan Amortization Schedule'!$17:$17)</definedName>
    <definedName name="Int">'Loan Amortization Schedule'!$H$18:$H$497</definedName>
    <definedName name="Interest_Rate">'Loan Amortization Schedule'!$D$6</definedName>
    <definedName name="IS1_PER_WK">(Variables!$H$2*Variables!$H$16)/52</definedName>
    <definedName name="IS2_PER_WK">(Variables!$H$18*Variables!$H$32)/52</definedName>
    <definedName name="IS3_PER_WK">(Variables!$H$34*Variables!$H$48)/52</definedName>
    <definedName name="IS4_PER_WK">(Variables!$H$50*Variables!$H$64)/52</definedName>
    <definedName name="IS5_PER_WK">(Variables!$H$66*Variables!$H$80)/52</definedName>
    <definedName name="IS6_PER_WK">(Variables!$H$82*Variables!$H$96)/52</definedName>
    <definedName name="Last_Row">IF(Values_Entered,Header_Row+Number_of_Payments,Header_Row)</definedName>
    <definedName name="Loan_Amount">'Loan Amortization Schedule'!$D$5</definedName>
    <definedName name="Loan_Start">'Loan Amortization Schedule'!$D$9</definedName>
    <definedName name="Loan_Years">'Loan Amortization Schedule'!$D$7</definedName>
    <definedName name="Num_Pmt_Per_Year">'Loan Amortization Schedule'!$D$8</definedName>
    <definedName name="Number_of_Payments">MATCH(0.01,End_Bal,-1)+1</definedName>
    <definedName name="Pay_Date">'Loan Amortization Schedule'!$B$18:$B$497</definedName>
    <definedName name="Pay_Num">'Loan Amortization Schedule'!$A$18:$A$497</definedName>
    <definedName name="Payment_Date">DATE(YEAR(Loan_Start),MONTH(Loan_Start)+Payment_Number,DAY(Loan_Start))</definedName>
    <definedName name="Princ">'Loan Amortization Schedule'!$G$18:$G$497</definedName>
    <definedName name="_xlnm.Print_Area" localSheetId="3">OFFSET(Full_Print,0,0,Last_Row)</definedName>
    <definedName name="Print_Area_Reset">OFFSET(Full_Print,0,0,Last_Row)</definedName>
    <definedName name="_xlnm.Print_Titles" localSheetId="3">'Loan Amortization Schedule'!$14:$17</definedName>
    <definedName name="Sched_Pay">'Loan Amortization Schedule'!$D$18:$D$497</definedName>
    <definedName name="Scheduled_Extra_Payments">'Loan Amortization Schedule'!$D$10</definedName>
    <definedName name="Scheduled_Interest_Rate">'Loan Amortization Schedule'!$D$6</definedName>
    <definedName name="Scheduled_Monthly_Payment">'Loan Amortization Schedule'!$J$5</definedName>
    <definedName name="Total_Interest">'Loan Amortization Schedule'!$J$9</definedName>
    <definedName name="Total_Pay">'Loan Amortization Schedule'!$F$18:$F$497</definedName>
    <definedName name="TOTAL_Projected" comment="The total amount if every single expense hit every single month. Used to calculate required salary and months ahead. Discounts any unplanned deposits at the bottom of the sheet.">SUM('Monthly Rundown'!$T$3:$T$182)</definedName>
    <definedName name="TOTAL_Savings">SUM('Monthly Rundown'!$B$2:$B$5)</definedName>
    <definedName name="Values_Entered">IF(Loan_Amount*Interest_Rate*Loan_Years*Loan_Start&gt;0,1,0)</definedName>
    <definedName name="Z_3000A5D3_4225_4BEC_8C51_5821C1637985_.wvu.FilterData" localSheetId="2" hidden="1">'Monthly Rundown'!$T$1:$T$197</definedName>
    <definedName name="Z_32C42143_63A9_4198_AA2B_A7F987080ABD_.wvu.FilterData" localSheetId="2" hidden="1">'Monthly Rundown'!$E$1:$T$197</definedName>
    <definedName name="Z_465E278D_55C1_4FEC_A60E_3F6CF89A80ED_.wvu.FilterData" localSheetId="2" hidden="1">'Monthly Rundown'!$T$1:$T$197</definedName>
    <definedName name="Z_7CE6BF17_265E_4957_8504_7250D1E621AC_.wvu.FilterData" localSheetId="2" hidden="1">'Monthly Rundown'!$E$1:$T$197</definedName>
  </definedNames>
  <calcPr calcId="191029"/>
  <customWorkbookViews>
    <customWorkbookView name="Hide Unused Expenses" guid="{3000A5D3-4225-4BEC-8C51-5821C1637985}" maximized="1" xWindow="-8" yWindow="-8" windowWidth="1936" windowHeight="1056" activeSheetId="1"/>
    <customWorkbookView name="Show Autobill Expenses" guid="{32C42143-63A9-4198-AA2B-A7F987080ABD}" maximized="1" xWindow="-8" yWindow="-8" windowWidth="1936" windowHeight="1056" activeSheetId="1"/>
    <customWorkbookView name="Show Extra Expenses and Deposits" guid="{7CE6BF17-265E-4957-8504-7250D1E621AC}" maximized="1" xWindow="-8" yWindow="-8" windowWidth="1936" windowHeight="1056" activeSheetId="1"/>
    <customWorkbookView name="Show All Rows" guid="{465E278D-55C1-4FEC-A60E-3F6CF89A80ED}" maximized="1" xWindow="-8" yWindow="-8" windowWidth="1936" windowHeight="1056" activeSheetId="1"/>
  </customWorkbookView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P33" i="1" l="1"/>
  <c r="J5" i="8" l="1"/>
  <c r="J6" i="8"/>
  <c r="J7" i="8"/>
  <c r="J8" i="8"/>
  <c r="J9" i="8"/>
  <c r="A18" i="8"/>
  <c r="C18" i="8"/>
  <c r="A19" i="8"/>
  <c r="A20" i="8"/>
  <c r="B20" i="8" s="1"/>
  <c r="H20" i="8"/>
  <c r="A21" i="8"/>
  <c r="A22" i="8"/>
  <c r="A23" i="8"/>
  <c r="D23" i="8" s="1"/>
  <c r="E23" i="8" s="1"/>
  <c r="C23" i="8"/>
  <c r="H23" i="8"/>
  <c r="A24" i="8"/>
  <c r="H24" i="8" s="1"/>
  <c r="A25" i="8"/>
  <c r="B25" i="8" s="1"/>
  <c r="C25" i="8"/>
  <c r="G25" i="8"/>
  <c r="A26" i="8"/>
  <c r="A27" i="8"/>
  <c r="B27" i="8" s="1"/>
  <c r="H27" i="8"/>
  <c r="A28" i="8"/>
  <c r="H28" i="8" s="1"/>
  <c r="A29" i="8"/>
  <c r="B29" i="8" s="1"/>
  <c r="C29" i="8"/>
  <c r="G29" i="8"/>
  <c r="H29" i="8"/>
  <c r="A30" i="8"/>
  <c r="A31" i="8"/>
  <c r="A32" i="8"/>
  <c r="H32" i="8" s="1"/>
  <c r="A33" i="8"/>
  <c r="B33" i="8" s="1"/>
  <c r="C33" i="8"/>
  <c r="H33" i="8"/>
  <c r="A34" i="8"/>
  <c r="A35" i="8"/>
  <c r="G35" i="8" s="1"/>
  <c r="B35" i="8"/>
  <c r="C35" i="8"/>
  <c r="D35" i="8"/>
  <c r="E35" i="8" s="1"/>
  <c r="A36" i="8"/>
  <c r="H36" i="8" s="1"/>
  <c r="A37" i="8"/>
  <c r="B37" i="8" s="1"/>
  <c r="C37" i="8"/>
  <c r="D37" i="8"/>
  <c r="G37" i="8"/>
  <c r="H37" i="8"/>
  <c r="A38" i="8"/>
  <c r="A39" i="8"/>
  <c r="C39" i="8" s="1"/>
  <c r="B39" i="8"/>
  <c r="D39" i="8"/>
  <c r="G39" i="8"/>
  <c r="H39" i="8"/>
  <c r="A40" i="8"/>
  <c r="H40" i="8" s="1"/>
  <c r="A41" i="8"/>
  <c r="B41" i="8" s="1"/>
  <c r="C41" i="8"/>
  <c r="D41" i="8"/>
  <c r="G41" i="8"/>
  <c r="H41" i="8"/>
  <c r="A42" i="8"/>
  <c r="B42" i="8" s="1"/>
  <c r="A43" i="8"/>
  <c r="A44" i="8"/>
  <c r="H44" i="8" s="1"/>
  <c r="A45" i="8"/>
  <c r="B45" i="8" s="1"/>
  <c r="C45" i="8"/>
  <c r="H45" i="8"/>
  <c r="A46" i="8"/>
  <c r="B46" i="8" s="1"/>
  <c r="A47" i="8"/>
  <c r="B47" i="8" s="1"/>
  <c r="D47" i="8"/>
  <c r="A48" i="8"/>
  <c r="H48" i="8" s="1"/>
  <c r="A49" i="8"/>
  <c r="B49" i="8" s="1"/>
  <c r="C49" i="8"/>
  <c r="D49" i="8"/>
  <c r="G49" i="8"/>
  <c r="H49" i="8"/>
  <c r="A50" i="8"/>
  <c r="B50" i="8" s="1"/>
  <c r="A51" i="8"/>
  <c r="B51" i="8" s="1"/>
  <c r="H51" i="8"/>
  <c r="A52" i="8"/>
  <c r="A53" i="8"/>
  <c r="B53" i="8" s="1"/>
  <c r="C53" i="8"/>
  <c r="D53" i="8"/>
  <c r="G53" i="8"/>
  <c r="H53" i="8"/>
  <c r="A54" i="8"/>
  <c r="B54" i="8"/>
  <c r="A55" i="8"/>
  <c r="B55" i="8"/>
  <c r="C55" i="8"/>
  <c r="E55" i="8" s="1"/>
  <c r="D55" i="8"/>
  <c r="G55" i="8"/>
  <c r="H55" i="8"/>
  <c r="A56" i="8"/>
  <c r="A57" i="8"/>
  <c r="A58" i="8"/>
  <c r="A59" i="8"/>
  <c r="G59" i="8" s="1"/>
  <c r="D59" i="8"/>
  <c r="A60" i="8"/>
  <c r="A61" i="8"/>
  <c r="C61" i="8"/>
  <c r="D61" i="8"/>
  <c r="A62" i="8"/>
  <c r="B62" i="8" s="1"/>
  <c r="D62" i="8"/>
  <c r="A63" i="8"/>
  <c r="B63" i="8" s="1"/>
  <c r="C63" i="8"/>
  <c r="G63" i="8"/>
  <c r="H63" i="8"/>
  <c r="A64" i="8"/>
  <c r="B64" i="8" s="1"/>
  <c r="C64" i="8"/>
  <c r="A65" i="8"/>
  <c r="C65" i="8" s="1"/>
  <c r="G65" i="8"/>
  <c r="A66" i="8"/>
  <c r="H66" i="8" s="1"/>
  <c r="B66" i="8"/>
  <c r="C66" i="8"/>
  <c r="D66" i="8"/>
  <c r="A67" i="8"/>
  <c r="A68" i="8"/>
  <c r="D68" i="8" s="1"/>
  <c r="A69" i="8"/>
  <c r="D69" i="8" s="1"/>
  <c r="A70" i="8"/>
  <c r="C70" i="8" s="1"/>
  <c r="A71" i="8"/>
  <c r="B71" i="8" s="1"/>
  <c r="A72" i="8"/>
  <c r="H72" i="8" s="1"/>
  <c r="A73" i="8"/>
  <c r="B73" i="8" s="1"/>
  <c r="C73" i="8"/>
  <c r="G73" i="8"/>
  <c r="H73" i="8"/>
  <c r="A74" i="8"/>
  <c r="G74" i="8" s="1"/>
  <c r="A75" i="8"/>
  <c r="B75" i="8" s="1"/>
  <c r="C75" i="8"/>
  <c r="G75" i="8"/>
  <c r="A76" i="8"/>
  <c r="A77" i="8"/>
  <c r="B77" i="8" s="1"/>
  <c r="A78" i="8"/>
  <c r="A79" i="8"/>
  <c r="A80" i="8"/>
  <c r="A81" i="8"/>
  <c r="B81" i="8" s="1"/>
  <c r="A82" i="8"/>
  <c r="A83" i="8"/>
  <c r="H83" i="8" s="1"/>
  <c r="A84" i="8"/>
  <c r="D84" i="8" s="1"/>
  <c r="G84" i="8"/>
  <c r="H84" i="8"/>
  <c r="A85" i="8"/>
  <c r="B85" i="8" s="1"/>
  <c r="D85" i="8"/>
  <c r="G85" i="8"/>
  <c r="H85" i="8"/>
  <c r="A86" i="8"/>
  <c r="H86" i="8" s="1"/>
  <c r="G86" i="8"/>
  <c r="A87" i="8"/>
  <c r="C87" i="8" s="1"/>
  <c r="D87" i="8"/>
  <c r="A88" i="8"/>
  <c r="C88" i="8" s="1"/>
  <c r="A89" i="8"/>
  <c r="A90" i="8"/>
  <c r="H90" i="8" s="1"/>
  <c r="C90" i="8"/>
  <c r="G90" i="8"/>
  <c r="A91" i="8"/>
  <c r="C91" i="8"/>
  <c r="E91" i="8" s="1"/>
  <c r="D91" i="8"/>
  <c r="A92" i="8"/>
  <c r="C92" i="8" s="1"/>
  <c r="A93" i="8"/>
  <c r="G93" i="8" s="1"/>
  <c r="H93" i="8"/>
  <c r="A94" i="8"/>
  <c r="H94" i="8" s="1"/>
  <c r="G94" i="8"/>
  <c r="A95" i="8"/>
  <c r="C95" i="8"/>
  <c r="E95" i="8" s="1"/>
  <c r="D95" i="8"/>
  <c r="A96" i="8"/>
  <c r="B96" i="8" s="1"/>
  <c r="C96" i="8"/>
  <c r="A97" i="8"/>
  <c r="A98" i="8"/>
  <c r="H98" i="8" s="1"/>
  <c r="C98" i="8"/>
  <c r="G98" i="8"/>
  <c r="A99" i="8"/>
  <c r="C99" i="8" s="1"/>
  <c r="A100" i="8"/>
  <c r="A101" i="8"/>
  <c r="A102" i="8"/>
  <c r="H102" i="8" s="1"/>
  <c r="C102" i="8"/>
  <c r="G102" i="8"/>
  <c r="A103" i="8"/>
  <c r="C103" i="8" s="1"/>
  <c r="D103" i="8"/>
  <c r="E103" i="8" s="1"/>
  <c r="A104" i="8"/>
  <c r="B104" i="8" s="1"/>
  <c r="G104" i="8"/>
  <c r="A105" i="8"/>
  <c r="H105" i="8" s="1"/>
  <c r="C105" i="8"/>
  <c r="G105" i="8"/>
  <c r="A106" i="8"/>
  <c r="A107" i="8"/>
  <c r="G107" i="8"/>
  <c r="A108" i="8"/>
  <c r="C108" i="8" s="1"/>
  <c r="B108" i="8"/>
  <c r="G108" i="8"/>
  <c r="A109" i="8"/>
  <c r="C109" i="8" s="1"/>
  <c r="H109" i="8"/>
  <c r="A110" i="8"/>
  <c r="C110" i="8"/>
  <c r="G110" i="8"/>
  <c r="A111" i="8"/>
  <c r="C111" i="8"/>
  <c r="A112" i="8"/>
  <c r="B112" i="8" s="1"/>
  <c r="A113" i="8"/>
  <c r="H113" i="8"/>
  <c r="A114" i="8"/>
  <c r="G114" i="8" s="1"/>
  <c r="C114" i="8"/>
  <c r="H114" i="8"/>
  <c r="A115" i="8"/>
  <c r="D115" i="8" s="1"/>
  <c r="C115" i="8"/>
  <c r="A116" i="8"/>
  <c r="A117" i="8"/>
  <c r="A118" i="8"/>
  <c r="A119" i="8"/>
  <c r="C119" i="8" s="1"/>
  <c r="A120" i="8"/>
  <c r="A121" i="8"/>
  <c r="G121" i="8" s="1"/>
  <c r="B121" i="8"/>
  <c r="C121" i="8"/>
  <c r="H121" i="8"/>
  <c r="A122" i="8"/>
  <c r="C122" i="8" s="1"/>
  <c r="G122" i="8"/>
  <c r="H122" i="8"/>
  <c r="A123" i="8"/>
  <c r="C123" i="8" s="1"/>
  <c r="A124" i="8"/>
  <c r="B124" i="8" s="1"/>
  <c r="D124" i="8"/>
  <c r="A125" i="8"/>
  <c r="D125" i="8" s="1"/>
  <c r="H125" i="8"/>
  <c r="A126" i="8"/>
  <c r="B126" i="8" s="1"/>
  <c r="C126" i="8"/>
  <c r="H126" i="8"/>
  <c r="A127" i="8"/>
  <c r="D127" i="8" s="1"/>
  <c r="C127" i="8"/>
  <c r="G127" i="8"/>
  <c r="H127" i="8"/>
  <c r="A128" i="8"/>
  <c r="A129" i="8"/>
  <c r="H129" i="8" s="1"/>
  <c r="B129" i="8"/>
  <c r="G129" i="8"/>
  <c r="A130" i="8"/>
  <c r="D130" i="8"/>
  <c r="A131" i="8"/>
  <c r="D131" i="8" s="1"/>
  <c r="C131" i="8"/>
  <c r="A132" i="8"/>
  <c r="A133" i="8"/>
  <c r="H133" i="8" s="1"/>
  <c r="B133" i="8"/>
  <c r="G133" i="8"/>
  <c r="A134" i="8"/>
  <c r="D134" i="8" s="1"/>
  <c r="A135" i="8"/>
  <c r="A136" i="8"/>
  <c r="H136" i="8" s="1"/>
  <c r="A137" i="8"/>
  <c r="H137" i="8" s="1"/>
  <c r="C137" i="8"/>
  <c r="D137" i="8"/>
  <c r="G137" i="8"/>
  <c r="A138" i="8"/>
  <c r="D138" i="8" s="1"/>
  <c r="A139" i="8"/>
  <c r="G139" i="8"/>
  <c r="A140" i="8"/>
  <c r="D140" i="8" s="1"/>
  <c r="A141" i="8"/>
  <c r="H141" i="8" s="1"/>
  <c r="B141" i="8"/>
  <c r="G141" i="8"/>
  <c r="A142" i="8"/>
  <c r="H142" i="8" s="1"/>
  <c r="D142" i="8"/>
  <c r="A143" i="8"/>
  <c r="D143" i="8" s="1"/>
  <c r="B143" i="8"/>
  <c r="H143" i="8"/>
  <c r="A144" i="8"/>
  <c r="D144" i="8"/>
  <c r="A145" i="8"/>
  <c r="H145" i="8" s="1"/>
  <c r="C145" i="8"/>
  <c r="A146" i="8"/>
  <c r="A147" i="8"/>
  <c r="D147" i="8" s="1"/>
  <c r="B147" i="8"/>
  <c r="H147" i="8"/>
  <c r="A148" i="8"/>
  <c r="C148" i="8" s="1"/>
  <c r="D148" i="8"/>
  <c r="A149" i="8"/>
  <c r="H149" i="8" s="1"/>
  <c r="D149" i="8"/>
  <c r="A150" i="8"/>
  <c r="B150" i="8" s="1"/>
  <c r="C150" i="8"/>
  <c r="E150" i="8" s="1"/>
  <c r="D150" i="8"/>
  <c r="A151" i="8"/>
  <c r="D151" i="8" s="1"/>
  <c r="A152" i="8"/>
  <c r="A153" i="8"/>
  <c r="A154" i="8"/>
  <c r="B154" i="8"/>
  <c r="A155" i="8"/>
  <c r="A156" i="8"/>
  <c r="B156" i="8" s="1"/>
  <c r="G156" i="8"/>
  <c r="A157" i="8"/>
  <c r="H157" i="8" s="1"/>
  <c r="G157" i="8"/>
  <c r="A158" i="8"/>
  <c r="G158" i="8" s="1"/>
  <c r="B158" i="8"/>
  <c r="C158" i="8"/>
  <c r="A159" i="8"/>
  <c r="A160" i="8"/>
  <c r="B160" i="8" s="1"/>
  <c r="D160" i="8"/>
  <c r="A161" i="8"/>
  <c r="H161" i="8" s="1"/>
  <c r="C161" i="8"/>
  <c r="E161" i="8" s="1"/>
  <c r="D161" i="8"/>
  <c r="A162" i="8"/>
  <c r="D162" i="8" s="1"/>
  <c r="C162" i="8"/>
  <c r="A163" i="8"/>
  <c r="C163" i="8" s="1"/>
  <c r="A164" i="8"/>
  <c r="C164" i="8"/>
  <c r="A165" i="8"/>
  <c r="A166" i="8"/>
  <c r="H166" i="8" s="1"/>
  <c r="A167" i="8"/>
  <c r="A168" i="8"/>
  <c r="A169" i="8"/>
  <c r="D169" i="8"/>
  <c r="A170" i="8"/>
  <c r="H170" i="8" s="1"/>
  <c r="D170" i="8"/>
  <c r="A171" i="8"/>
  <c r="B171" i="8"/>
  <c r="C171" i="8"/>
  <c r="D171" i="8"/>
  <c r="G171" i="8"/>
  <c r="H171" i="8"/>
  <c r="A172" i="8"/>
  <c r="H172" i="8" s="1"/>
  <c r="A173" i="8"/>
  <c r="B173" i="8" s="1"/>
  <c r="G173" i="8"/>
  <c r="H173" i="8"/>
  <c r="A174" i="8"/>
  <c r="H174" i="8" s="1"/>
  <c r="B174" i="8"/>
  <c r="D174" i="8"/>
  <c r="A175" i="8"/>
  <c r="D175" i="8" s="1"/>
  <c r="A176" i="8"/>
  <c r="B176" i="8" s="1"/>
  <c r="A177" i="8"/>
  <c r="A178" i="8"/>
  <c r="A179" i="8"/>
  <c r="C179" i="8" s="1"/>
  <c r="B179" i="8"/>
  <c r="G179" i="8"/>
  <c r="H179" i="8"/>
  <c r="A180" i="8"/>
  <c r="B180" i="8" s="1"/>
  <c r="A181" i="8"/>
  <c r="A182" i="8"/>
  <c r="A183" i="8"/>
  <c r="C183" i="8" s="1"/>
  <c r="B183" i="8"/>
  <c r="G183" i="8"/>
  <c r="H183" i="8"/>
  <c r="A184" i="8"/>
  <c r="C184" i="8" s="1"/>
  <c r="B184" i="8"/>
  <c r="A185" i="8"/>
  <c r="A186" i="8"/>
  <c r="A187" i="8"/>
  <c r="C187" i="8" s="1"/>
  <c r="B187" i="8"/>
  <c r="G187" i="8"/>
  <c r="H187" i="8"/>
  <c r="A188" i="8"/>
  <c r="C188" i="8" s="1"/>
  <c r="B188" i="8"/>
  <c r="H188" i="8"/>
  <c r="A189" i="8"/>
  <c r="C189" i="8"/>
  <c r="D189" i="8"/>
  <c r="H189" i="8"/>
  <c r="A190" i="8"/>
  <c r="D190" i="8"/>
  <c r="A191" i="8"/>
  <c r="C191" i="8" s="1"/>
  <c r="B191" i="8"/>
  <c r="G191" i="8"/>
  <c r="H191" i="8"/>
  <c r="A192" i="8"/>
  <c r="C192" i="8"/>
  <c r="A193" i="8"/>
  <c r="D193" i="8"/>
  <c r="A194" i="8"/>
  <c r="D194" i="8" s="1"/>
  <c r="B194" i="8"/>
  <c r="A195" i="8"/>
  <c r="H195" i="8" s="1"/>
  <c r="A196" i="8"/>
  <c r="D196" i="8" s="1"/>
  <c r="B196" i="8"/>
  <c r="A197" i="8"/>
  <c r="D197" i="8" s="1"/>
  <c r="A198" i="8"/>
  <c r="C198" i="8"/>
  <c r="A199" i="8"/>
  <c r="C199" i="8" s="1"/>
  <c r="B199" i="8"/>
  <c r="H199" i="8"/>
  <c r="A200" i="8"/>
  <c r="A201" i="8"/>
  <c r="B201" i="8" s="1"/>
  <c r="G201" i="8"/>
  <c r="A202" i="8"/>
  <c r="H202" i="8" s="1"/>
  <c r="A203" i="8"/>
  <c r="A204" i="8"/>
  <c r="D204" i="8" s="1"/>
  <c r="C204" i="8"/>
  <c r="H204" i="8"/>
  <c r="A205" i="8"/>
  <c r="B205" i="8" s="1"/>
  <c r="D205" i="8"/>
  <c r="G205" i="8"/>
  <c r="A206" i="8"/>
  <c r="H206" i="8" s="1"/>
  <c r="C206" i="8"/>
  <c r="A207" i="8"/>
  <c r="C207" i="8" s="1"/>
  <c r="B207" i="8"/>
  <c r="D207" i="8"/>
  <c r="A208" i="8"/>
  <c r="C208" i="8"/>
  <c r="A209" i="8"/>
  <c r="B209" i="8" s="1"/>
  <c r="D209" i="8"/>
  <c r="A210" i="8"/>
  <c r="A211" i="8"/>
  <c r="H211" i="8"/>
  <c r="A212" i="8"/>
  <c r="B212" i="8" s="1"/>
  <c r="H212" i="8"/>
  <c r="A213" i="8"/>
  <c r="A214" i="8"/>
  <c r="H214" i="8" s="1"/>
  <c r="A215" i="8"/>
  <c r="D215" i="8" s="1"/>
  <c r="B215" i="8"/>
  <c r="C215" i="8"/>
  <c r="H215" i="8"/>
  <c r="A216" i="8"/>
  <c r="B216" i="8" s="1"/>
  <c r="H216" i="8"/>
  <c r="A217" i="8"/>
  <c r="A218" i="8"/>
  <c r="A219" i="8"/>
  <c r="A220" i="8"/>
  <c r="A221" i="8"/>
  <c r="H221" i="8" s="1"/>
  <c r="B221" i="8"/>
  <c r="C221" i="8"/>
  <c r="D221" i="8"/>
  <c r="G221" i="8"/>
  <c r="A222" i="8"/>
  <c r="B222" i="8" s="1"/>
  <c r="D222" i="8"/>
  <c r="A223" i="8"/>
  <c r="D223" i="8" s="1"/>
  <c r="B223" i="8"/>
  <c r="C223" i="8"/>
  <c r="G223" i="8"/>
  <c r="H223" i="8"/>
  <c r="A224" i="8"/>
  <c r="H224" i="8" s="1"/>
  <c r="A225" i="8"/>
  <c r="D225" i="8"/>
  <c r="A226" i="8"/>
  <c r="D226" i="8" s="1"/>
  <c r="B226" i="8"/>
  <c r="A227" i="8"/>
  <c r="A228" i="8"/>
  <c r="H228" i="8" s="1"/>
  <c r="A229" i="8"/>
  <c r="H229" i="8" s="1"/>
  <c r="C229" i="8"/>
  <c r="A230" i="8"/>
  <c r="A231" i="8"/>
  <c r="D231" i="8" s="1"/>
  <c r="C231" i="8"/>
  <c r="A232" i="8"/>
  <c r="A233" i="8"/>
  <c r="H233" i="8" s="1"/>
  <c r="B233" i="8"/>
  <c r="C233" i="8"/>
  <c r="G233" i="8"/>
  <c r="A234" i="8"/>
  <c r="B234" i="8" s="1"/>
  <c r="D234" i="8"/>
  <c r="A235" i="8"/>
  <c r="D235" i="8" s="1"/>
  <c r="B235" i="8"/>
  <c r="C235" i="8"/>
  <c r="H235" i="8"/>
  <c r="A236" i="8"/>
  <c r="H236" i="8" s="1"/>
  <c r="A237" i="8"/>
  <c r="A238" i="8"/>
  <c r="A239" i="8"/>
  <c r="A240" i="8"/>
  <c r="H240" i="8" s="1"/>
  <c r="A241" i="8"/>
  <c r="H241" i="8" s="1"/>
  <c r="B241" i="8"/>
  <c r="C241" i="8"/>
  <c r="D241" i="8"/>
  <c r="G241" i="8"/>
  <c r="A242" i="8"/>
  <c r="D242" i="8" s="1"/>
  <c r="B242" i="8"/>
  <c r="A243" i="8"/>
  <c r="D243" i="8" s="1"/>
  <c r="B243" i="8"/>
  <c r="C243" i="8"/>
  <c r="G243" i="8"/>
  <c r="H243" i="8"/>
  <c r="A244" i="8"/>
  <c r="H244" i="8" s="1"/>
  <c r="A245" i="8"/>
  <c r="D245" i="8" s="1"/>
  <c r="A246" i="8"/>
  <c r="D246" i="8" s="1"/>
  <c r="B246" i="8"/>
  <c r="A247" i="8"/>
  <c r="G247" i="8"/>
  <c r="A248" i="8"/>
  <c r="A249" i="8"/>
  <c r="H249" i="8" s="1"/>
  <c r="C249" i="8"/>
  <c r="A250" i="8"/>
  <c r="A251" i="8"/>
  <c r="D251" i="8" s="1"/>
  <c r="C251" i="8"/>
  <c r="A252" i="8"/>
  <c r="A253" i="8"/>
  <c r="H253" i="8" s="1"/>
  <c r="B253" i="8"/>
  <c r="C253" i="8"/>
  <c r="G253" i="8"/>
  <c r="A254" i="8"/>
  <c r="B254" i="8" s="1"/>
  <c r="A255" i="8"/>
  <c r="D255" i="8" s="1"/>
  <c r="B255" i="8"/>
  <c r="C255" i="8"/>
  <c r="G255" i="8"/>
  <c r="H255" i="8"/>
  <c r="A256" i="8"/>
  <c r="A257" i="8"/>
  <c r="D257" i="8" s="1"/>
  <c r="A258" i="8"/>
  <c r="D258" i="8" s="1"/>
  <c r="B258" i="8"/>
  <c r="A259" i="8"/>
  <c r="D259" i="8" s="1"/>
  <c r="B259" i="8"/>
  <c r="G259" i="8"/>
  <c r="H259" i="8"/>
  <c r="A260" i="8"/>
  <c r="A261" i="8"/>
  <c r="H261" i="8" s="1"/>
  <c r="B261" i="8"/>
  <c r="D261" i="8"/>
  <c r="A262" i="8"/>
  <c r="C262" i="8" s="1"/>
  <c r="B262" i="8"/>
  <c r="A263" i="8"/>
  <c r="G263" i="8" s="1"/>
  <c r="B263" i="8"/>
  <c r="C263" i="8"/>
  <c r="A264" i="8"/>
  <c r="A265" i="8"/>
  <c r="H265" i="8" s="1"/>
  <c r="B265" i="8"/>
  <c r="C265" i="8"/>
  <c r="E265" i="8" s="1"/>
  <c r="F265" i="8" s="1"/>
  <c r="D265" i="8"/>
  <c r="G265" i="8"/>
  <c r="A266" i="8"/>
  <c r="D266" i="8" s="1"/>
  <c r="C266" i="8"/>
  <c r="A267" i="8"/>
  <c r="B267" i="8"/>
  <c r="C267" i="8"/>
  <c r="G267" i="8"/>
  <c r="H267" i="8"/>
  <c r="A268" i="8"/>
  <c r="G268" i="8"/>
  <c r="A269" i="8"/>
  <c r="H269" i="8" s="1"/>
  <c r="B269" i="8"/>
  <c r="C269" i="8"/>
  <c r="E269" i="8" s="1"/>
  <c r="F269" i="8" s="1"/>
  <c r="D269" i="8"/>
  <c r="G269" i="8"/>
  <c r="A270" i="8"/>
  <c r="B270" i="8" s="1"/>
  <c r="H270" i="8"/>
  <c r="A271" i="8"/>
  <c r="B271" i="8" s="1"/>
  <c r="C271" i="8"/>
  <c r="H271" i="8"/>
  <c r="A272" i="8"/>
  <c r="B272" i="8" s="1"/>
  <c r="D272" i="8"/>
  <c r="G272" i="8"/>
  <c r="A273" i="8"/>
  <c r="A274" i="8"/>
  <c r="A275" i="8"/>
  <c r="A276" i="8"/>
  <c r="B276" i="8" s="1"/>
  <c r="C276" i="8"/>
  <c r="D276" i="8"/>
  <c r="G276" i="8"/>
  <c r="H276" i="8"/>
  <c r="A277" i="8"/>
  <c r="H277" i="8" s="1"/>
  <c r="B277" i="8"/>
  <c r="C277" i="8"/>
  <c r="D277" i="8"/>
  <c r="G277" i="8"/>
  <c r="A278" i="8"/>
  <c r="D278" i="8" s="1"/>
  <c r="E278" i="8" s="1"/>
  <c r="B278" i="8"/>
  <c r="C278" i="8"/>
  <c r="H278" i="8"/>
  <c r="A279" i="8"/>
  <c r="C279" i="8"/>
  <c r="A280" i="8"/>
  <c r="A281" i="8"/>
  <c r="H281" i="8" s="1"/>
  <c r="B281" i="8"/>
  <c r="A282" i="8"/>
  <c r="H282" i="8"/>
  <c r="A283" i="8"/>
  <c r="D283" i="8" s="1"/>
  <c r="C283" i="8"/>
  <c r="G283" i="8"/>
  <c r="H283" i="8"/>
  <c r="A284" i="8"/>
  <c r="B284" i="8" s="1"/>
  <c r="C284" i="8"/>
  <c r="H284" i="8"/>
  <c r="A285" i="8"/>
  <c r="H285" i="8" s="1"/>
  <c r="B285" i="8"/>
  <c r="G285" i="8"/>
  <c r="A286" i="8"/>
  <c r="D286" i="8"/>
  <c r="G286" i="8"/>
  <c r="A287" i="8"/>
  <c r="D287" i="8" s="1"/>
  <c r="B287" i="8"/>
  <c r="C287" i="8"/>
  <c r="E287" i="8" s="1"/>
  <c r="G287" i="8"/>
  <c r="H287" i="8"/>
  <c r="A288" i="8"/>
  <c r="B288" i="8" s="1"/>
  <c r="C288" i="8"/>
  <c r="D288" i="8"/>
  <c r="G288" i="8"/>
  <c r="A289" i="8"/>
  <c r="H289" i="8" s="1"/>
  <c r="B289" i="8"/>
  <c r="D289" i="8"/>
  <c r="G289" i="8"/>
  <c r="A290" i="8"/>
  <c r="A291" i="8"/>
  <c r="A292" i="8"/>
  <c r="A293" i="8"/>
  <c r="A294" i="8"/>
  <c r="B294" i="8" s="1"/>
  <c r="C294" i="8"/>
  <c r="H294" i="8"/>
  <c r="A295" i="8"/>
  <c r="D295" i="8" s="1"/>
  <c r="B295" i="8"/>
  <c r="G295" i="8"/>
  <c r="H295" i="8"/>
  <c r="A296" i="8"/>
  <c r="G296" i="8"/>
  <c r="A297" i="8"/>
  <c r="D297" i="8"/>
  <c r="A298" i="8"/>
  <c r="B298" i="8"/>
  <c r="C298" i="8"/>
  <c r="E298" i="8" s="1"/>
  <c r="I298" i="8" s="1"/>
  <c r="D298" i="8"/>
  <c r="G298" i="8"/>
  <c r="H298" i="8"/>
  <c r="A299" i="8"/>
  <c r="D299" i="8" s="1"/>
  <c r="B299" i="8"/>
  <c r="C299" i="8"/>
  <c r="E299" i="8"/>
  <c r="F299" i="8" s="1"/>
  <c r="G299" i="8"/>
  <c r="H299" i="8"/>
  <c r="A300" i="8"/>
  <c r="C300" i="8" s="1"/>
  <c r="D300" i="8"/>
  <c r="A301" i="8"/>
  <c r="C301" i="8" s="1"/>
  <c r="B301" i="8"/>
  <c r="A302" i="8"/>
  <c r="B302" i="8"/>
  <c r="A303" i="8"/>
  <c r="H303" i="8" s="1"/>
  <c r="A304" i="8"/>
  <c r="C304" i="8" s="1"/>
  <c r="H304" i="8"/>
  <c r="A305" i="8"/>
  <c r="D305" i="8"/>
  <c r="G305" i="8"/>
  <c r="A306" i="8"/>
  <c r="H306" i="8" s="1"/>
  <c r="B306" i="8"/>
  <c r="G306" i="8"/>
  <c r="A307" i="8"/>
  <c r="B307" i="8"/>
  <c r="C307" i="8"/>
  <c r="H307" i="8"/>
  <c r="A308" i="8"/>
  <c r="C308" i="8" s="1"/>
  <c r="A309" i="8"/>
  <c r="D309" i="8" s="1"/>
  <c r="G309" i="8"/>
  <c r="A310" i="8"/>
  <c r="C310" i="8" s="1"/>
  <c r="A311" i="8"/>
  <c r="B311" i="8" s="1"/>
  <c r="C311" i="8"/>
  <c r="A312" i="8"/>
  <c r="G312" i="8" s="1"/>
  <c r="A313" i="8"/>
  <c r="D313" i="8"/>
  <c r="G313" i="8"/>
  <c r="A314" i="8"/>
  <c r="H314" i="8" s="1"/>
  <c r="B314" i="8"/>
  <c r="A315" i="8"/>
  <c r="A316" i="8"/>
  <c r="C316" i="8"/>
  <c r="A317" i="8"/>
  <c r="A318" i="8"/>
  <c r="D318" i="8" s="1"/>
  <c r="A319" i="8"/>
  <c r="A320" i="8"/>
  <c r="H320" i="8"/>
  <c r="A321" i="8"/>
  <c r="A322" i="8"/>
  <c r="D322" i="8"/>
  <c r="A323" i="8"/>
  <c r="B323" i="8" s="1"/>
  <c r="C323" i="8"/>
  <c r="G323" i="8"/>
  <c r="A324" i="8"/>
  <c r="H324" i="8" s="1"/>
  <c r="G324" i="8"/>
  <c r="A325" i="8"/>
  <c r="D325" i="8" s="1"/>
  <c r="A326" i="8"/>
  <c r="B326" i="8"/>
  <c r="D326" i="8"/>
  <c r="G326" i="8"/>
  <c r="H326" i="8"/>
  <c r="A327" i="8"/>
  <c r="B327" i="8" s="1"/>
  <c r="C327" i="8"/>
  <c r="H327" i="8"/>
  <c r="A328" i="8"/>
  <c r="D328" i="8" s="1"/>
  <c r="A329" i="8"/>
  <c r="D329" i="8" s="1"/>
  <c r="G329" i="8"/>
  <c r="A330" i="8"/>
  <c r="B330" i="8"/>
  <c r="D330" i="8"/>
  <c r="G330" i="8"/>
  <c r="H330" i="8"/>
  <c r="A331" i="8"/>
  <c r="B331" i="8" s="1"/>
  <c r="C331" i="8"/>
  <c r="H331" i="8"/>
  <c r="A332" i="8"/>
  <c r="D332" i="8"/>
  <c r="A333" i="8"/>
  <c r="C333" i="8" s="1"/>
  <c r="B333" i="8"/>
  <c r="D333" i="8"/>
  <c r="G333" i="8"/>
  <c r="H333" i="8"/>
  <c r="A334" i="8"/>
  <c r="A335" i="8"/>
  <c r="C335" i="8"/>
  <c r="A336" i="8"/>
  <c r="D336" i="8" s="1"/>
  <c r="A337" i="8"/>
  <c r="H337" i="8" s="1"/>
  <c r="B337" i="8"/>
  <c r="D337" i="8"/>
  <c r="G337" i="8"/>
  <c r="A338" i="8"/>
  <c r="B338" i="8"/>
  <c r="D338" i="8"/>
  <c r="G338" i="8"/>
  <c r="H338" i="8"/>
  <c r="A339" i="8"/>
  <c r="B339" i="8" s="1"/>
  <c r="C339" i="8"/>
  <c r="H339" i="8"/>
  <c r="A340" i="8"/>
  <c r="D340" i="8"/>
  <c r="A341" i="8"/>
  <c r="H341" i="8" s="1"/>
  <c r="B341" i="8"/>
  <c r="D341" i="8"/>
  <c r="G341" i="8"/>
  <c r="A342" i="8"/>
  <c r="D342" i="8" s="1"/>
  <c r="B342" i="8"/>
  <c r="H342" i="8"/>
  <c r="A343" i="8"/>
  <c r="H343" i="8" s="1"/>
  <c r="A344" i="8"/>
  <c r="A345" i="8"/>
  <c r="H345" i="8" s="1"/>
  <c r="B345" i="8"/>
  <c r="D345" i="8"/>
  <c r="G345" i="8"/>
  <c r="A346" i="8"/>
  <c r="B346" i="8" s="1"/>
  <c r="D346" i="8"/>
  <c r="A347" i="8"/>
  <c r="H347" i="8" s="1"/>
  <c r="A348" i="8"/>
  <c r="A349" i="8"/>
  <c r="B349" i="8" s="1"/>
  <c r="A350" i="8"/>
  <c r="H350" i="8" s="1"/>
  <c r="B350" i="8"/>
  <c r="C350" i="8"/>
  <c r="E350" i="8" s="1"/>
  <c r="D350" i="8"/>
  <c r="G350" i="8"/>
  <c r="A351" i="8"/>
  <c r="C351" i="8" s="1"/>
  <c r="A352" i="8"/>
  <c r="A353" i="8"/>
  <c r="D353" i="8" s="1"/>
  <c r="B353" i="8"/>
  <c r="A354" i="8"/>
  <c r="B354" i="8"/>
  <c r="C354" i="8"/>
  <c r="D354" i="8"/>
  <c r="E354" i="8"/>
  <c r="G354" i="8"/>
  <c r="H354" i="8"/>
  <c r="A355" i="8"/>
  <c r="H355" i="8" s="1"/>
  <c r="C355" i="8"/>
  <c r="A356" i="8"/>
  <c r="A357" i="8"/>
  <c r="H357" i="8" s="1"/>
  <c r="D357" i="8"/>
  <c r="A358" i="8"/>
  <c r="B358" i="8" s="1"/>
  <c r="A359" i="8"/>
  <c r="H359" i="8" s="1"/>
  <c r="A360" i="8"/>
  <c r="A361" i="8"/>
  <c r="H361" i="8" s="1"/>
  <c r="B361" i="8"/>
  <c r="D361" i="8"/>
  <c r="G361" i="8"/>
  <c r="A362" i="8"/>
  <c r="C362" i="8" s="1"/>
  <c r="B362" i="8"/>
  <c r="D362" i="8"/>
  <c r="H362" i="8"/>
  <c r="A363" i="8"/>
  <c r="H363" i="8" s="1"/>
  <c r="A364" i="8"/>
  <c r="A365" i="8"/>
  <c r="H365" i="8" s="1"/>
  <c r="B365" i="8"/>
  <c r="A366" i="8"/>
  <c r="D366" i="8"/>
  <c r="A367" i="8"/>
  <c r="H367" i="8" s="1"/>
  <c r="C367" i="8"/>
  <c r="A368" i="8"/>
  <c r="A369" i="8"/>
  <c r="H369" i="8" s="1"/>
  <c r="B369" i="8"/>
  <c r="G369" i="8"/>
  <c r="A370" i="8"/>
  <c r="B370" i="8"/>
  <c r="C370" i="8"/>
  <c r="D370" i="8"/>
  <c r="E370" i="8" s="1"/>
  <c r="G370" i="8"/>
  <c r="H370" i="8"/>
  <c r="A371" i="8"/>
  <c r="H371" i="8" s="1"/>
  <c r="A372" i="8"/>
  <c r="A373" i="8"/>
  <c r="H373" i="8" s="1"/>
  <c r="G373" i="8"/>
  <c r="A374" i="8"/>
  <c r="C374" i="8" s="1"/>
  <c r="B374" i="8"/>
  <c r="G374" i="8"/>
  <c r="H374" i="8"/>
  <c r="A375" i="8"/>
  <c r="H375" i="8" s="1"/>
  <c r="A376" i="8"/>
  <c r="A377" i="8"/>
  <c r="H377" i="8" s="1"/>
  <c r="B377" i="8"/>
  <c r="D377" i="8"/>
  <c r="G377" i="8"/>
  <c r="A378" i="8"/>
  <c r="C378" i="8" s="1"/>
  <c r="B378" i="8"/>
  <c r="D378" i="8"/>
  <c r="H378" i="8"/>
  <c r="A379" i="8"/>
  <c r="H379" i="8" s="1"/>
  <c r="A380" i="8"/>
  <c r="D380" i="8" s="1"/>
  <c r="A381" i="8"/>
  <c r="H381" i="8" s="1"/>
  <c r="G381" i="8"/>
  <c r="A382" i="8"/>
  <c r="D382" i="8" s="1"/>
  <c r="E382" i="8" s="1"/>
  <c r="C382" i="8"/>
  <c r="G382" i="8"/>
  <c r="A383" i="8"/>
  <c r="B383" i="8"/>
  <c r="C383" i="8"/>
  <c r="A384" i="8"/>
  <c r="D384" i="8" s="1"/>
  <c r="G384" i="8"/>
  <c r="A385" i="8"/>
  <c r="H385" i="8" s="1"/>
  <c r="G385" i="8"/>
  <c r="A386" i="8"/>
  <c r="D386" i="8" s="1"/>
  <c r="E386" i="8" s="1"/>
  <c r="C386" i="8"/>
  <c r="G386" i="8"/>
  <c r="A387" i="8"/>
  <c r="B387" i="8"/>
  <c r="C387" i="8"/>
  <c r="H387" i="8"/>
  <c r="A388" i="8"/>
  <c r="D388" i="8" s="1"/>
  <c r="A389" i="8"/>
  <c r="H389" i="8" s="1"/>
  <c r="G389" i="8"/>
  <c r="A390" i="8"/>
  <c r="D390" i="8" s="1"/>
  <c r="C390" i="8"/>
  <c r="G390" i="8"/>
  <c r="A391" i="8"/>
  <c r="B391" i="8"/>
  <c r="C391" i="8"/>
  <c r="A392" i="8"/>
  <c r="D392" i="8" s="1"/>
  <c r="G392" i="8"/>
  <c r="A393" i="8"/>
  <c r="B393" i="8" s="1"/>
  <c r="G393" i="8"/>
  <c r="A394" i="8"/>
  <c r="D394" i="8" s="1"/>
  <c r="E394" i="8" s="1"/>
  <c r="C394" i="8"/>
  <c r="A395" i="8"/>
  <c r="B395" i="8" s="1"/>
  <c r="H395" i="8"/>
  <c r="A396" i="8"/>
  <c r="D396" i="8" s="1"/>
  <c r="C396" i="8"/>
  <c r="G396" i="8"/>
  <c r="H396" i="8"/>
  <c r="A397" i="8"/>
  <c r="G397" i="8" s="1"/>
  <c r="D397" i="8"/>
  <c r="A398" i="8"/>
  <c r="B398" i="8" s="1"/>
  <c r="D398" i="8"/>
  <c r="A399" i="8"/>
  <c r="B399" i="8" s="1"/>
  <c r="A400" i="8"/>
  <c r="C400" i="8"/>
  <c r="D400" i="8"/>
  <c r="G400" i="8"/>
  <c r="H400" i="8"/>
  <c r="A401" i="8"/>
  <c r="B401" i="8" s="1"/>
  <c r="A402" i="8"/>
  <c r="B402" i="8" s="1"/>
  <c r="D402" i="8"/>
  <c r="A403" i="8"/>
  <c r="B403" i="8" s="1"/>
  <c r="A404" i="8"/>
  <c r="C404" i="8" s="1"/>
  <c r="A405" i="8"/>
  <c r="A406" i="8"/>
  <c r="B406" i="8"/>
  <c r="C406" i="8"/>
  <c r="D406" i="8"/>
  <c r="E406" i="8" s="1"/>
  <c r="G406" i="8"/>
  <c r="H406" i="8"/>
  <c r="A407" i="8"/>
  <c r="A408" i="8"/>
  <c r="A409" i="8"/>
  <c r="B409" i="8" s="1"/>
  <c r="A410" i="8"/>
  <c r="B410" i="8" s="1"/>
  <c r="D410" i="8"/>
  <c r="A411" i="8"/>
  <c r="A412" i="8"/>
  <c r="B412" i="8" s="1"/>
  <c r="H412" i="8"/>
  <c r="A413" i="8"/>
  <c r="H413" i="8" s="1"/>
  <c r="A414" i="8"/>
  <c r="B414" i="8" s="1"/>
  <c r="A415" i="8"/>
  <c r="D415" i="8" s="1"/>
  <c r="C415" i="8"/>
  <c r="H415" i="8"/>
  <c r="A416" i="8"/>
  <c r="B416" i="8" s="1"/>
  <c r="G416" i="8"/>
  <c r="A417" i="8"/>
  <c r="H417" i="8" s="1"/>
  <c r="A418" i="8"/>
  <c r="B418" i="8" s="1"/>
  <c r="C418" i="8"/>
  <c r="A419" i="8"/>
  <c r="D419" i="8" s="1"/>
  <c r="G419" i="8"/>
  <c r="A420" i="8"/>
  <c r="C420" i="8" s="1"/>
  <c r="A421" i="8"/>
  <c r="A422" i="8"/>
  <c r="A423" i="8"/>
  <c r="D423" i="8" s="1"/>
  <c r="A424" i="8"/>
  <c r="B424" i="8" s="1"/>
  <c r="C424" i="8"/>
  <c r="D424" i="8"/>
  <c r="H424" i="8"/>
  <c r="A425" i="8"/>
  <c r="H425" i="8" s="1"/>
  <c r="B425" i="8"/>
  <c r="D425" i="8"/>
  <c r="G425" i="8"/>
  <c r="A426" i="8"/>
  <c r="D426" i="8" s="1"/>
  <c r="B426" i="8"/>
  <c r="H426" i="8"/>
  <c r="A427" i="8"/>
  <c r="G427" i="8" s="1"/>
  <c r="A428" i="8"/>
  <c r="B428" i="8" s="1"/>
  <c r="D428" i="8"/>
  <c r="A429" i="8"/>
  <c r="D429" i="8" s="1"/>
  <c r="E429" i="8" s="1"/>
  <c r="I429" i="8" s="1"/>
  <c r="C429" i="8"/>
  <c r="A430" i="8"/>
  <c r="H430" i="8" s="1"/>
  <c r="B430" i="8"/>
  <c r="C430" i="8"/>
  <c r="G430" i="8"/>
  <c r="A431" i="8"/>
  <c r="G431" i="8" s="1"/>
  <c r="H431" i="8"/>
  <c r="A432" i="8"/>
  <c r="C432" i="8" s="1"/>
  <c r="G432" i="8"/>
  <c r="A433" i="8"/>
  <c r="B433" i="8"/>
  <c r="A434" i="8"/>
  <c r="D434" i="8"/>
  <c r="H434" i="8"/>
  <c r="A435" i="8"/>
  <c r="D435" i="8" s="1"/>
  <c r="C435" i="8"/>
  <c r="G435" i="8"/>
  <c r="A436" i="8"/>
  <c r="B436" i="8" s="1"/>
  <c r="C436" i="8"/>
  <c r="D436" i="8"/>
  <c r="H436" i="8"/>
  <c r="A437" i="8"/>
  <c r="H437" i="8" s="1"/>
  <c r="B437" i="8"/>
  <c r="G437" i="8"/>
  <c r="A438" i="8"/>
  <c r="B438" i="8" s="1"/>
  <c r="H438" i="8"/>
  <c r="A439" i="8"/>
  <c r="C439" i="8" s="1"/>
  <c r="B439" i="8"/>
  <c r="D439" i="8"/>
  <c r="G439" i="8"/>
  <c r="H439" i="8"/>
  <c r="A440" i="8"/>
  <c r="D440" i="8" s="1"/>
  <c r="B440" i="8"/>
  <c r="H440" i="8"/>
  <c r="A441" i="8"/>
  <c r="B441" i="8"/>
  <c r="C441" i="8"/>
  <c r="D441" i="8"/>
  <c r="G441" i="8"/>
  <c r="H441" i="8"/>
  <c r="A442" i="8"/>
  <c r="D442" i="8" s="1"/>
  <c r="B442" i="8"/>
  <c r="H442" i="8"/>
  <c r="A443" i="8"/>
  <c r="G443" i="8" s="1"/>
  <c r="D443" i="8"/>
  <c r="A444" i="8"/>
  <c r="C444" i="8" s="1"/>
  <c r="B444" i="8"/>
  <c r="D444" i="8"/>
  <c r="E444" i="8" s="1"/>
  <c r="G444" i="8"/>
  <c r="H444" i="8"/>
  <c r="A445" i="8"/>
  <c r="B445" i="8" s="1"/>
  <c r="A446" i="8"/>
  <c r="G446" i="8" s="1"/>
  <c r="A447" i="8"/>
  <c r="C447" i="8" s="1"/>
  <c r="A448" i="8"/>
  <c r="C448" i="8" s="1"/>
  <c r="G448" i="8"/>
  <c r="A449" i="8"/>
  <c r="G449" i="8" s="1"/>
  <c r="D449" i="8"/>
  <c r="A450" i="8"/>
  <c r="G450" i="8" s="1"/>
  <c r="B450" i="8"/>
  <c r="D450" i="8"/>
  <c r="H450" i="8"/>
  <c r="A451" i="8"/>
  <c r="H451" i="8" s="1"/>
  <c r="A452" i="8"/>
  <c r="C452" i="8" s="1"/>
  <c r="A453" i="8"/>
  <c r="H453" i="8" s="1"/>
  <c r="B453" i="8"/>
  <c r="C453" i="8"/>
  <c r="G453" i="8"/>
  <c r="A454" i="8"/>
  <c r="G454" i="8" s="1"/>
  <c r="A455" i="8"/>
  <c r="C455" i="8" s="1"/>
  <c r="B455" i="8"/>
  <c r="H455" i="8"/>
  <c r="A456" i="8"/>
  <c r="C456" i="8" s="1"/>
  <c r="G456" i="8"/>
  <c r="A457" i="8"/>
  <c r="B457" i="8"/>
  <c r="C457" i="8"/>
  <c r="D457" i="8"/>
  <c r="G457" i="8"/>
  <c r="H457" i="8"/>
  <c r="A458" i="8"/>
  <c r="G458" i="8" s="1"/>
  <c r="B458" i="8"/>
  <c r="H458" i="8"/>
  <c r="A459" i="8"/>
  <c r="D459" i="8" s="1"/>
  <c r="A460" i="8"/>
  <c r="B460" i="8" s="1"/>
  <c r="G460" i="8"/>
  <c r="A461" i="8"/>
  <c r="C461" i="8" s="1"/>
  <c r="D461" i="8"/>
  <c r="A462" i="8"/>
  <c r="B462" i="8"/>
  <c r="C462" i="8"/>
  <c r="E462" i="8" s="1"/>
  <c r="F462" i="8" s="1"/>
  <c r="D462" i="8"/>
  <c r="G462" i="8"/>
  <c r="H462" i="8"/>
  <c r="A463" i="8"/>
  <c r="D463" i="8" s="1"/>
  <c r="A464" i="8"/>
  <c r="B464" i="8" s="1"/>
  <c r="A465" i="8"/>
  <c r="C465" i="8" s="1"/>
  <c r="B465" i="8"/>
  <c r="G465" i="8"/>
  <c r="A466" i="8"/>
  <c r="B466" i="8" s="1"/>
  <c r="A467" i="8"/>
  <c r="D467" i="8" s="1"/>
  <c r="A468" i="8"/>
  <c r="B468" i="8" s="1"/>
  <c r="G468" i="8"/>
  <c r="A469" i="8"/>
  <c r="C469" i="8" s="1"/>
  <c r="B469" i="8"/>
  <c r="G469" i="8"/>
  <c r="H469" i="8"/>
  <c r="A470" i="8"/>
  <c r="G470" i="8" s="1"/>
  <c r="B470" i="8"/>
  <c r="D470" i="8"/>
  <c r="A471" i="8"/>
  <c r="D471" i="8" s="1"/>
  <c r="A472" i="8"/>
  <c r="B472" i="8" s="1"/>
  <c r="G472" i="8"/>
  <c r="A473" i="8"/>
  <c r="C473" i="8" s="1"/>
  <c r="G473" i="8"/>
  <c r="A474" i="8"/>
  <c r="B474" i="8" s="1"/>
  <c r="D474" i="8"/>
  <c r="G474" i="8"/>
  <c r="A475" i="8"/>
  <c r="D475" i="8" s="1"/>
  <c r="A476" i="8"/>
  <c r="B476" i="8" s="1"/>
  <c r="G476" i="8"/>
  <c r="A477" i="8"/>
  <c r="C477" i="8" s="1"/>
  <c r="B477" i="8"/>
  <c r="G477" i="8"/>
  <c r="H477" i="8"/>
  <c r="A478" i="8"/>
  <c r="D478" i="8" s="1"/>
  <c r="B478" i="8"/>
  <c r="G478" i="8"/>
  <c r="A479" i="8"/>
  <c r="D479" i="8" s="1"/>
  <c r="A480" i="8"/>
  <c r="B480" i="8" s="1"/>
  <c r="G480" i="8"/>
  <c r="A481" i="8"/>
  <c r="C481" i="8" s="1"/>
  <c r="B481" i="8"/>
  <c r="H481" i="8"/>
  <c r="A482" i="8"/>
  <c r="D482" i="8" s="1"/>
  <c r="B482" i="8"/>
  <c r="C482" i="8"/>
  <c r="G482" i="8"/>
  <c r="H482" i="8"/>
  <c r="A483" i="8"/>
  <c r="D483" i="8" s="1"/>
  <c r="A484" i="8"/>
  <c r="B484" i="8" s="1"/>
  <c r="G484" i="8"/>
  <c r="A485" i="8"/>
  <c r="C485" i="8" s="1"/>
  <c r="B485" i="8"/>
  <c r="G485" i="8"/>
  <c r="H485" i="8"/>
  <c r="A486" i="8"/>
  <c r="D486" i="8" s="1"/>
  <c r="B486" i="8"/>
  <c r="G486" i="8"/>
  <c r="A487" i="8"/>
  <c r="D487" i="8" s="1"/>
  <c r="A488" i="8"/>
  <c r="B488" i="8" s="1"/>
  <c r="G488" i="8"/>
  <c r="A489" i="8"/>
  <c r="C489" i="8" s="1"/>
  <c r="B489" i="8"/>
  <c r="H489" i="8"/>
  <c r="A490" i="8"/>
  <c r="D490" i="8" s="1"/>
  <c r="B490" i="8"/>
  <c r="C490" i="8"/>
  <c r="G490" i="8"/>
  <c r="H490" i="8"/>
  <c r="A491" i="8"/>
  <c r="D491" i="8" s="1"/>
  <c r="A492" i="8"/>
  <c r="B492" i="8" s="1"/>
  <c r="G492" i="8"/>
  <c r="A493" i="8"/>
  <c r="C493" i="8" s="1"/>
  <c r="B493" i="8"/>
  <c r="G493" i="8"/>
  <c r="H493" i="8"/>
  <c r="A494" i="8"/>
  <c r="B494" i="8" s="1"/>
  <c r="C494" i="8"/>
  <c r="H494" i="8"/>
  <c r="A495" i="8"/>
  <c r="D495" i="8" s="1"/>
  <c r="A496" i="8"/>
  <c r="B496" i="8" s="1"/>
  <c r="G496" i="8"/>
  <c r="A497" i="8"/>
  <c r="C497" i="8" s="1"/>
  <c r="G497" i="8"/>
  <c r="B168" i="8" l="1"/>
  <c r="C168" i="8"/>
  <c r="D168" i="8"/>
  <c r="E168" i="8" s="1"/>
  <c r="G168" i="8"/>
  <c r="H168" i="8"/>
  <c r="B146" i="8"/>
  <c r="D146" i="8"/>
  <c r="G146" i="8"/>
  <c r="H146" i="8"/>
  <c r="B120" i="8"/>
  <c r="C120" i="8"/>
  <c r="B67" i="8"/>
  <c r="C67" i="8"/>
  <c r="E67" i="8" s="1"/>
  <c r="F67" i="8" s="1"/>
  <c r="D67" i="8"/>
  <c r="B19" i="8"/>
  <c r="C19" i="8"/>
  <c r="D19" i="8"/>
  <c r="E19" i="8" s="1"/>
  <c r="G19" i="8"/>
  <c r="H19" i="8"/>
  <c r="B497" i="8"/>
  <c r="H474" i="8"/>
  <c r="B473" i="8"/>
  <c r="C470" i="8"/>
  <c r="E470" i="8" s="1"/>
  <c r="F470" i="8" s="1"/>
  <c r="H465" i="8"/>
  <c r="B461" i="8"/>
  <c r="D453" i="8"/>
  <c r="E453" i="8" s="1"/>
  <c r="C449" i="8"/>
  <c r="E449" i="8" s="1"/>
  <c r="F449" i="8" s="1"/>
  <c r="C446" i="8"/>
  <c r="C443" i="8"/>
  <c r="E443" i="8" s="1"/>
  <c r="D438" i="8"/>
  <c r="G436" i="8"/>
  <c r="B435" i="8"/>
  <c r="D430" i="8"/>
  <c r="G424" i="8"/>
  <c r="B415" i="8"/>
  <c r="G413" i="8"/>
  <c r="C410" i="8"/>
  <c r="E410" i="8" s="1"/>
  <c r="I410" i="8" s="1"/>
  <c r="H402" i="8"/>
  <c r="H398" i="8"/>
  <c r="B397" i="8"/>
  <c r="C395" i="8"/>
  <c r="B394" i="8"/>
  <c r="B390" i="8"/>
  <c r="B386" i="8"/>
  <c r="B382" i="8"/>
  <c r="C379" i="8"/>
  <c r="D373" i="8"/>
  <c r="C366" i="8"/>
  <c r="E366" i="8" s="1"/>
  <c r="C363" i="8"/>
  <c r="H358" i="8"/>
  <c r="B357" i="8"/>
  <c r="H351" i="8"/>
  <c r="G349" i="8"/>
  <c r="C346" i="8"/>
  <c r="C343" i="8"/>
  <c r="G318" i="8"/>
  <c r="G310" i="8"/>
  <c r="D293" i="8"/>
  <c r="G293" i="8"/>
  <c r="E187" i="8"/>
  <c r="I187" i="8" s="1"/>
  <c r="D167" i="8"/>
  <c r="G167" i="8"/>
  <c r="H167" i="8"/>
  <c r="C107" i="8"/>
  <c r="D107" i="8"/>
  <c r="D76" i="8"/>
  <c r="B76" i="8"/>
  <c r="C76" i="8"/>
  <c r="G76" i="8"/>
  <c r="H76" i="8"/>
  <c r="I462" i="8"/>
  <c r="E461" i="8"/>
  <c r="B449" i="8"/>
  <c r="B443" i="8"/>
  <c r="H419" i="8"/>
  <c r="D417" i="8"/>
  <c r="G402" i="8"/>
  <c r="G398" i="8"/>
  <c r="B373" i="8"/>
  <c r="B366" i="8"/>
  <c r="G358" i="8"/>
  <c r="C329" i="8"/>
  <c r="B329" i="8"/>
  <c r="H329" i="8"/>
  <c r="B250" i="8"/>
  <c r="D250" i="8"/>
  <c r="D239" i="8"/>
  <c r="B239" i="8"/>
  <c r="C239" i="8"/>
  <c r="G239" i="8"/>
  <c r="H239" i="8"/>
  <c r="B195" i="8"/>
  <c r="C195" i="8"/>
  <c r="D195" i="8"/>
  <c r="G195" i="8"/>
  <c r="H186" i="8"/>
  <c r="B186" i="8"/>
  <c r="D186" i="8"/>
  <c r="G186" i="8"/>
  <c r="H182" i="8"/>
  <c r="B182" i="8"/>
  <c r="D182" i="8"/>
  <c r="G182" i="8"/>
  <c r="H178" i="8"/>
  <c r="B178" i="8"/>
  <c r="D178" i="8"/>
  <c r="G178" i="8"/>
  <c r="H82" i="8"/>
  <c r="B82" i="8"/>
  <c r="D227" i="8"/>
  <c r="B227" i="8"/>
  <c r="C227" i="8"/>
  <c r="H227" i="8"/>
  <c r="H414" i="8"/>
  <c r="E398" i="8"/>
  <c r="F398" i="8" s="1"/>
  <c r="H349" i="8"/>
  <c r="D349" i="8"/>
  <c r="H346" i="8"/>
  <c r="E346" i="8"/>
  <c r="D310" i="8"/>
  <c r="E310" i="8"/>
  <c r="I310" i="8" s="1"/>
  <c r="B310" i="8"/>
  <c r="D291" i="8"/>
  <c r="B291" i="8"/>
  <c r="B280" i="8"/>
  <c r="C280" i="8"/>
  <c r="H257" i="8"/>
  <c r="B257" i="8"/>
  <c r="C257" i="8"/>
  <c r="G257" i="8"/>
  <c r="H245" i="8"/>
  <c r="B245" i="8"/>
  <c r="C245" i="8"/>
  <c r="G245" i="8"/>
  <c r="B238" i="8"/>
  <c r="D238" i="8"/>
  <c r="B230" i="8"/>
  <c r="D230" i="8"/>
  <c r="D219" i="8"/>
  <c r="B219" i="8"/>
  <c r="C219" i="8"/>
  <c r="G219" i="8"/>
  <c r="H219" i="8"/>
  <c r="H210" i="8"/>
  <c r="B210" i="8"/>
  <c r="C210" i="8"/>
  <c r="G210" i="8"/>
  <c r="G185" i="8"/>
  <c r="H185" i="8"/>
  <c r="G181" i="8"/>
  <c r="H181" i="8"/>
  <c r="B177" i="8"/>
  <c r="G177" i="8"/>
  <c r="H177" i="8"/>
  <c r="B31" i="8"/>
  <c r="C31" i="8"/>
  <c r="D31" i="8"/>
  <c r="E31" i="8" s="1"/>
  <c r="F31" i="8" s="1"/>
  <c r="G31" i="8"/>
  <c r="H31" i="8"/>
  <c r="B319" i="8"/>
  <c r="C319" i="8"/>
  <c r="G319" i="8"/>
  <c r="H466" i="8"/>
  <c r="H445" i="8"/>
  <c r="C474" i="8"/>
  <c r="E474" i="8" s="1"/>
  <c r="F474" i="8" s="1"/>
  <c r="G466" i="8"/>
  <c r="G445" i="8"/>
  <c r="C431" i="8"/>
  <c r="C419" i="8"/>
  <c r="E419" i="8" s="1"/>
  <c r="I419" i="8" s="1"/>
  <c r="G414" i="8"/>
  <c r="C402" i="8"/>
  <c r="E402" i="8" s="1"/>
  <c r="C398" i="8"/>
  <c r="H394" i="8"/>
  <c r="D393" i="8"/>
  <c r="D389" i="8"/>
  <c r="D385" i="8"/>
  <c r="D381" i="8"/>
  <c r="G378" i="8"/>
  <c r="D374" i="8"/>
  <c r="E374" i="8" s="1"/>
  <c r="G365" i="8"/>
  <c r="G362" i="8"/>
  <c r="D358" i="8"/>
  <c r="E358" i="8" s="1"/>
  <c r="G342" i="8"/>
  <c r="B335" i="8"/>
  <c r="H335" i="8"/>
  <c r="D275" i="8"/>
  <c r="G275" i="8"/>
  <c r="H237" i="8"/>
  <c r="B237" i="8"/>
  <c r="C237" i="8"/>
  <c r="D237" i="8"/>
  <c r="G237" i="8"/>
  <c r="H225" i="8"/>
  <c r="B225" i="8"/>
  <c r="C225" i="8"/>
  <c r="G225" i="8"/>
  <c r="B218" i="8"/>
  <c r="D218" i="8"/>
  <c r="B203" i="8"/>
  <c r="C203" i="8"/>
  <c r="D203" i="8"/>
  <c r="E203" i="8" s="1"/>
  <c r="I203" i="8" s="1"/>
  <c r="G203" i="8"/>
  <c r="H203" i="8"/>
  <c r="C113" i="8"/>
  <c r="G113" i="8"/>
  <c r="D334" i="8"/>
  <c r="H334" i="8"/>
  <c r="B334" i="8"/>
  <c r="C315" i="8"/>
  <c r="G315" i="8"/>
  <c r="H486" i="8"/>
  <c r="H478" i="8"/>
  <c r="D466" i="8"/>
  <c r="G464" i="8"/>
  <c r="E457" i="8"/>
  <c r="F457" i="8" s="1"/>
  <c r="C454" i="8"/>
  <c r="H452" i="8"/>
  <c r="D445" i="8"/>
  <c r="E445" i="8" s="1"/>
  <c r="C437" i="8"/>
  <c r="H435" i="8"/>
  <c r="B431" i="8"/>
  <c r="G426" i="8"/>
  <c r="C425" i="8"/>
  <c r="E425" i="8" s="1"/>
  <c r="H423" i="8"/>
  <c r="B419" i="8"/>
  <c r="D414" i="8"/>
  <c r="E414" i="8" s="1"/>
  <c r="I414" i="8" s="1"/>
  <c r="F406" i="8"/>
  <c r="H399" i="8"/>
  <c r="G394" i="8"/>
  <c r="H390" i="8"/>
  <c r="B389" i="8"/>
  <c r="H386" i="8"/>
  <c r="B385" i="8"/>
  <c r="H382" i="8"/>
  <c r="B381" i="8"/>
  <c r="E378" i="8"/>
  <c r="C371" i="8"/>
  <c r="E371" i="8" s="1"/>
  <c r="H366" i="8"/>
  <c r="D365" i="8"/>
  <c r="E362" i="8"/>
  <c r="C358" i="8"/>
  <c r="C347" i="8"/>
  <c r="E338" i="8"/>
  <c r="F338" i="8" s="1"/>
  <c r="C338" i="8"/>
  <c r="G334" i="8"/>
  <c r="C274" i="8"/>
  <c r="B274" i="8"/>
  <c r="D274" i="8"/>
  <c r="G274" i="8"/>
  <c r="H274" i="8"/>
  <c r="H217" i="8"/>
  <c r="B217" i="8"/>
  <c r="C217" i="8"/>
  <c r="E217" i="8" s="1"/>
  <c r="D217" i="8"/>
  <c r="G217" i="8"/>
  <c r="B214" i="8"/>
  <c r="D214" i="8"/>
  <c r="B79" i="8"/>
  <c r="C79" i="8"/>
  <c r="D79" i="8"/>
  <c r="G79" i="8"/>
  <c r="B21" i="8"/>
  <c r="C21" i="8"/>
  <c r="D21" i="8"/>
  <c r="G21" i="8"/>
  <c r="H21" i="8"/>
  <c r="H449" i="8"/>
  <c r="C445" i="8"/>
  <c r="H443" i="8"/>
  <c r="C414" i="8"/>
  <c r="H410" i="8"/>
  <c r="C399" i="8"/>
  <c r="G366" i="8"/>
  <c r="H273" i="8"/>
  <c r="C273" i="8"/>
  <c r="G273" i="8"/>
  <c r="H213" i="8"/>
  <c r="B213" i="8"/>
  <c r="C213" i="8"/>
  <c r="D213" i="8"/>
  <c r="G213" i="8"/>
  <c r="B175" i="8"/>
  <c r="C175" i="8"/>
  <c r="E175" i="8" s="1"/>
  <c r="G175" i="8"/>
  <c r="H175" i="8"/>
  <c r="D159" i="8"/>
  <c r="B159" i="8"/>
  <c r="G159" i="8"/>
  <c r="H159" i="8"/>
  <c r="D135" i="8"/>
  <c r="B135" i="8"/>
  <c r="C135" i="8"/>
  <c r="G135" i="8"/>
  <c r="H135" i="8"/>
  <c r="B100" i="8"/>
  <c r="C100" i="8"/>
  <c r="G100" i="8"/>
  <c r="E87" i="8"/>
  <c r="F87" i="8" s="1"/>
  <c r="H78" i="8"/>
  <c r="C78" i="8"/>
  <c r="E78" i="8" s="1"/>
  <c r="D78" i="8"/>
  <c r="H74" i="8"/>
  <c r="B74" i="8"/>
  <c r="D74" i="8"/>
  <c r="C57" i="8"/>
  <c r="D57" i="8"/>
  <c r="G57" i="8"/>
  <c r="B43" i="8"/>
  <c r="C43" i="8"/>
  <c r="D43" i="8"/>
  <c r="E43" i="8" s="1"/>
  <c r="G43" i="8"/>
  <c r="H43" i="8"/>
  <c r="H470" i="8"/>
  <c r="C466" i="8"/>
  <c r="H461" i="8"/>
  <c r="D452" i="8"/>
  <c r="E452" i="8" s="1"/>
  <c r="H447" i="8"/>
  <c r="H497" i="8"/>
  <c r="G494" i="8"/>
  <c r="G489" i="8"/>
  <c r="C486" i="8"/>
  <c r="E486" i="8" s="1"/>
  <c r="G481" i="8"/>
  <c r="C478" i="8"/>
  <c r="H473" i="8"/>
  <c r="G461" i="8"/>
  <c r="D458" i="8"/>
  <c r="B452" i="8"/>
  <c r="B447" i="8"/>
  <c r="E435" i="8"/>
  <c r="F435" i="8" s="1"/>
  <c r="C426" i="8"/>
  <c r="E426" i="8" s="1"/>
  <c r="D418" i="8"/>
  <c r="G415" i="8"/>
  <c r="G410" i="8"/>
  <c r="H392" i="8"/>
  <c r="G388" i="8"/>
  <c r="H384" i="8"/>
  <c r="G380" i="8"/>
  <c r="C375" i="8"/>
  <c r="D369" i="8"/>
  <c r="C359" i="8"/>
  <c r="G357" i="8"/>
  <c r="H353" i="8"/>
  <c r="G353" i="8"/>
  <c r="G346" i="8"/>
  <c r="E342" i="8"/>
  <c r="F342" i="8" s="1"/>
  <c r="C342" i="8"/>
  <c r="C334" i="8"/>
  <c r="E334" i="8" s="1"/>
  <c r="I334" i="8" s="1"/>
  <c r="D324" i="8"/>
  <c r="B324" i="8"/>
  <c r="D320" i="8"/>
  <c r="B320" i="8"/>
  <c r="D316" i="8"/>
  <c r="B316" i="8"/>
  <c r="G316" i="8"/>
  <c r="H316" i="8"/>
  <c r="D247" i="8"/>
  <c r="B247" i="8"/>
  <c r="C247" i="8"/>
  <c r="H247" i="8"/>
  <c r="G227" i="8"/>
  <c r="H169" i="8"/>
  <c r="B169" i="8"/>
  <c r="C169" i="8"/>
  <c r="E169" i="8"/>
  <c r="G169" i="8"/>
  <c r="D139" i="8"/>
  <c r="B139" i="8"/>
  <c r="C139" i="8"/>
  <c r="E139" i="8" s="1"/>
  <c r="H139" i="8"/>
  <c r="G120" i="8"/>
  <c r="E115" i="8"/>
  <c r="I115" i="8" s="1"/>
  <c r="C330" i="8"/>
  <c r="E330" i="8" s="1"/>
  <c r="C326" i="8"/>
  <c r="E326" i="8" s="1"/>
  <c r="H323" i="8"/>
  <c r="G294" i="8"/>
  <c r="E288" i="8"/>
  <c r="G284" i="8"/>
  <c r="H272" i="8"/>
  <c r="C270" i="8"/>
  <c r="B266" i="8"/>
  <c r="H263" i="8"/>
  <c r="C261" i="8"/>
  <c r="D253" i="8"/>
  <c r="F253" i="8" s="1"/>
  <c r="B251" i="8"/>
  <c r="B249" i="8"/>
  <c r="G235" i="8"/>
  <c r="D233" i="8"/>
  <c r="B231" i="8"/>
  <c r="B229" i="8"/>
  <c r="G215" i="8"/>
  <c r="C209" i="8"/>
  <c r="E209" i="8" s="1"/>
  <c r="B204" i="8"/>
  <c r="H184" i="8"/>
  <c r="C180" i="8"/>
  <c r="H176" i="8"/>
  <c r="G174" i="8"/>
  <c r="B170" i="8"/>
  <c r="B162" i="8"/>
  <c r="D158" i="8"/>
  <c r="E158" i="8" s="1"/>
  <c r="I158" i="8" s="1"/>
  <c r="C151" i="8"/>
  <c r="E151" i="8" s="1"/>
  <c r="B149" i="8"/>
  <c r="B145" i="8"/>
  <c r="D133" i="8"/>
  <c r="B131" i="8"/>
  <c r="G126" i="8"/>
  <c r="C112" i="8"/>
  <c r="D99" i="8"/>
  <c r="E99" i="8" s="1"/>
  <c r="C86" i="8"/>
  <c r="D77" i="8"/>
  <c r="H75" i="8"/>
  <c r="C59" i="8"/>
  <c r="E59" i="8" s="1"/>
  <c r="G51" i="8"/>
  <c r="C47" i="8"/>
  <c r="E47" i="8" s="1"/>
  <c r="G27" i="8"/>
  <c r="D25" i="8"/>
  <c r="E25" i="8" s="1"/>
  <c r="I25" i="8" s="1"/>
  <c r="B23" i="8"/>
  <c r="I204" i="8"/>
  <c r="B151" i="8"/>
  <c r="C133" i="8"/>
  <c r="D126" i="8"/>
  <c r="D123" i="8"/>
  <c r="B59" i="8"/>
  <c r="D51" i="8"/>
  <c r="D27" i="8"/>
  <c r="G314" i="8"/>
  <c r="D306" i="8"/>
  <c r="E123" i="8"/>
  <c r="C68" i="8"/>
  <c r="E68" i="8" s="1"/>
  <c r="C51" i="8"/>
  <c r="E39" i="8"/>
  <c r="C27" i="8"/>
  <c r="D314" i="8"/>
  <c r="C306" i="8"/>
  <c r="C289" i="8"/>
  <c r="B68" i="8"/>
  <c r="D63" i="8"/>
  <c r="D29" i="8"/>
  <c r="I29" i="8" s="1"/>
  <c r="E63" i="8"/>
  <c r="H251" i="8"/>
  <c r="G249" i="8"/>
  <c r="H231" i="8"/>
  <c r="G229" i="8"/>
  <c r="H209" i="8"/>
  <c r="G204" i="8"/>
  <c r="G199" i="8"/>
  <c r="D191" i="8"/>
  <c r="D187" i="8"/>
  <c r="D183" i="8"/>
  <c r="D179" i="8"/>
  <c r="E179" i="8" s="1"/>
  <c r="H162" i="8"/>
  <c r="H158" i="8"/>
  <c r="G147" i="8"/>
  <c r="G145" i="8"/>
  <c r="G143" i="8"/>
  <c r="D141" i="8"/>
  <c r="B137" i="8"/>
  <c r="H131" i="8"/>
  <c r="D129" i="8"/>
  <c r="B127" i="8"/>
  <c r="C125" i="8"/>
  <c r="E125" i="8" s="1"/>
  <c r="I125" i="8" s="1"/>
  <c r="G115" i="8"/>
  <c r="C94" i="8"/>
  <c r="C81" i="8"/>
  <c r="D65" i="8"/>
  <c r="H59" i="8"/>
  <c r="H47" i="8"/>
  <c r="G45" i="8"/>
  <c r="H35" i="8"/>
  <c r="G33" i="8"/>
  <c r="G23" i="8"/>
  <c r="H288" i="8"/>
  <c r="E277" i="8"/>
  <c r="I277" i="8" s="1"/>
  <c r="G261" i="8"/>
  <c r="C259" i="8"/>
  <c r="G251" i="8"/>
  <c r="D249" i="8"/>
  <c r="E249" i="8" s="1"/>
  <c r="F249" i="8" s="1"/>
  <c r="G231" i="8"/>
  <c r="D229" i="8"/>
  <c r="G209" i="8"/>
  <c r="E204" i="8"/>
  <c r="F204" i="8" s="1"/>
  <c r="G170" i="8"/>
  <c r="G160" i="8"/>
  <c r="H156" i="8"/>
  <c r="H151" i="8"/>
  <c r="G149" i="8"/>
  <c r="C147" i="8"/>
  <c r="E147" i="8" s="1"/>
  <c r="F147" i="8" s="1"/>
  <c r="D145" i="8"/>
  <c r="C143" i="8"/>
  <c r="C141" i="8"/>
  <c r="G131" i="8"/>
  <c r="C129" i="8"/>
  <c r="F55" i="8"/>
  <c r="G47" i="8"/>
  <c r="D45" i="8"/>
  <c r="D33" i="8"/>
  <c r="H25" i="8"/>
  <c r="E490" i="8"/>
  <c r="F490" i="8" s="1"/>
  <c r="E482" i="8"/>
  <c r="F482" i="8" s="1"/>
  <c r="F452" i="8"/>
  <c r="I452" i="8"/>
  <c r="I470" i="8"/>
  <c r="I461" i="8"/>
  <c r="E478" i="8"/>
  <c r="F478" i="8" s="1"/>
  <c r="I474" i="8"/>
  <c r="F444" i="8"/>
  <c r="I444" i="8"/>
  <c r="C495" i="8"/>
  <c r="C491" i="8"/>
  <c r="C483" i="8"/>
  <c r="C479" i="8"/>
  <c r="C471" i="8"/>
  <c r="C463" i="8"/>
  <c r="E418" i="8"/>
  <c r="I418" i="8" s="1"/>
  <c r="B408" i="8"/>
  <c r="C408" i="8"/>
  <c r="D408" i="8"/>
  <c r="E408" i="8" s="1"/>
  <c r="G408" i="8"/>
  <c r="H408" i="8"/>
  <c r="H364" i="8"/>
  <c r="B364" i="8"/>
  <c r="C364" i="8"/>
  <c r="D364" i="8"/>
  <c r="E364" i="8" s="1"/>
  <c r="I364" i="8" s="1"/>
  <c r="G364" i="8"/>
  <c r="H165" i="8"/>
  <c r="C165" i="8"/>
  <c r="D165" i="8"/>
  <c r="E165" i="8" s="1"/>
  <c r="G165" i="8"/>
  <c r="B165" i="8"/>
  <c r="C487" i="8"/>
  <c r="C475" i="8"/>
  <c r="C467" i="8"/>
  <c r="C459" i="8"/>
  <c r="C451" i="8"/>
  <c r="H421" i="8"/>
  <c r="C421" i="8"/>
  <c r="D421" i="8"/>
  <c r="E421" i="8" s="1"/>
  <c r="G421" i="8"/>
  <c r="H496" i="8"/>
  <c r="B495" i="8"/>
  <c r="D494" i="8"/>
  <c r="H492" i="8"/>
  <c r="B491" i="8"/>
  <c r="H488" i="8"/>
  <c r="B487" i="8"/>
  <c r="H484" i="8"/>
  <c r="B483" i="8"/>
  <c r="H480" i="8"/>
  <c r="B479" i="8"/>
  <c r="H476" i="8"/>
  <c r="B475" i="8"/>
  <c r="H472" i="8"/>
  <c r="B471" i="8"/>
  <c r="H468" i="8"/>
  <c r="B467" i="8"/>
  <c r="H464" i="8"/>
  <c r="B463" i="8"/>
  <c r="F461" i="8"/>
  <c r="H460" i="8"/>
  <c r="B459" i="8"/>
  <c r="C458" i="8"/>
  <c r="E458" i="8" s="1"/>
  <c r="I457" i="8"/>
  <c r="G455" i="8"/>
  <c r="H454" i="8"/>
  <c r="B451" i="8"/>
  <c r="C450" i="8"/>
  <c r="E450" i="8" s="1"/>
  <c r="I449" i="8"/>
  <c r="G447" i="8"/>
  <c r="H446" i="8"/>
  <c r="G442" i="8"/>
  <c r="C442" i="8"/>
  <c r="E442" i="8" s="1"/>
  <c r="C440" i="8"/>
  <c r="E440" i="8" s="1"/>
  <c r="G440" i="8"/>
  <c r="E439" i="8"/>
  <c r="F439" i="8" s="1"/>
  <c r="G438" i="8"/>
  <c r="C438" i="8"/>
  <c r="E438" i="8" s="1"/>
  <c r="H433" i="8"/>
  <c r="C433" i="8"/>
  <c r="D433" i="8"/>
  <c r="G433" i="8"/>
  <c r="H429" i="8"/>
  <c r="F429" i="8"/>
  <c r="G429" i="8"/>
  <c r="B429" i="8"/>
  <c r="E390" i="8"/>
  <c r="H368" i="8"/>
  <c r="B368" i="8"/>
  <c r="C368" i="8"/>
  <c r="D368" i="8"/>
  <c r="G368" i="8"/>
  <c r="B317" i="8"/>
  <c r="C317" i="8"/>
  <c r="D317" i="8"/>
  <c r="G317" i="8"/>
  <c r="H317" i="8"/>
  <c r="D407" i="8"/>
  <c r="E407" i="8" s="1"/>
  <c r="G407" i="8"/>
  <c r="B407" i="8"/>
  <c r="C407" i="8"/>
  <c r="H407" i="8"/>
  <c r="D497" i="8"/>
  <c r="H495" i="8"/>
  <c r="D493" i="8"/>
  <c r="H491" i="8"/>
  <c r="D489" i="8"/>
  <c r="H487" i="8"/>
  <c r="D485" i="8"/>
  <c r="H483" i="8"/>
  <c r="D481" i="8"/>
  <c r="H479" i="8"/>
  <c r="D477" i="8"/>
  <c r="H475" i="8"/>
  <c r="D473" i="8"/>
  <c r="H471" i="8"/>
  <c r="D469" i="8"/>
  <c r="H467" i="8"/>
  <c r="D465" i="8"/>
  <c r="H463" i="8"/>
  <c r="H459" i="8"/>
  <c r="D456" i="8"/>
  <c r="E456" i="8" s="1"/>
  <c r="D455" i="8"/>
  <c r="F453" i="8"/>
  <c r="D448" i="8"/>
  <c r="E448" i="8" s="1"/>
  <c r="D447" i="8"/>
  <c r="E447" i="8" s="1"/>
  <c r="F445" i="8"/>
  <c r="B434" i="8"/>
  <c r="C434" i="8"/>
  <c r="E434" i="8" s="1"/>
  <c r="G434" i="8"/>
  <c r="D427" i="8"/>
  <c r="H427" i="8"/>
  <c r="B427" i="8"/>
  <c r="C427" i="8"/>
  <c r="H376" i="8"/>
  <c r="B376" i="8"/>
  <c r="C376" i="8"/>
  <c r="D376" i="8"/>
  <c r="G376" i="8"/>
  <c r="H372" i="8"/>
  <c r="B372" i="8"/>
  <c r="C372" i="8"/>
  <c r="D372" i="8"/>
  <c r="G372" i="8"/>
  <c r="F287" i="8"/>
  <c r="I287" i="8"/>
  <c r="G495" i="8"/>
  <c r="G491" i="8"/>
  <c r="G487" i="8"/>
  <c r="G483" i="8"/>
  <c r="G479" i="8"/>
  <c r="G475" i="8"/>
  <c r="G471" i="8"/>
  <c r="G467" i="8"/>
  <c r="G463" i="8"/>
  <c r="G459" i="8"/>
  <c r="B456" i="8"/>
  <c r="D454" i="8"/>
  <c r="E454" i="8" s="1"/>
  <c r="G452" i="8"/>
  <c r="B448" i="8"/>
  <c r="D446" i="8"/>
  <c r="D431" i="8"/>
  <c r="E431" i="8" s="1"/>
  <c r="E424" i="8"/>
  <c r="I424" i="8" s="1"/>
  <c r="F424" i="8"/>
  <c r="H405" i="8"/>
  <c r="C405" i="8"/>
  <c r="E405" i="8" s="1"/>
  <c r="B405" i="8"/>
  <c r="D405" i="8"/>
  <c r="G405" i="8"/>
  <c r="H344" i="8"/>
  <c r="B344" i="8"/>
  <c r="C344" i="8"/>
  <c r="D344" i="8"/>
  <c r="G344" i="8"/>
  <c r="F475" i="8"/>
  <c r="D468" i="8"/>
  <c r="I453" i="8"/>
  <c r="G451" i="8"/>
  <c r="I445" i="8"/>
  <c r="B422" i="8"/>
  <c r="C422" i="8"/>
  <c r="D422" i="8"/>
  <c r="E422" i="8" s="1"/>
  <c r="G422" i="8"/>
  <c r="H422" i="8"/>
  <c r="H352" i="8"/>
  <c r="B352" i="8"/>
  <c r="C352" i="8"/>
  <c r="E352" i="8"/>
  <c r="I352" i="8" s="1"/>
  <c r="D352" i="8"/>
  <c r="G352" i="8"/>
  <c r="H348" i="8"/>
  <c r="B348" i="8"/>
  <c r="C348" i="8"/>
  <c r="E348" i="8"/>
  <c r="I348" i="8" s="1"/>
  <c r="D348" i="8"/>
  <c r="G348" i="8"/>
  <c r="D488" i="8"/>
  <c r="D480" i="8"/>
  <c r="D476" i="8"/>
  <c r="D464" i="8"/>
  <c r="D460" i="8"/>
  <c r="C496" i="8"/>
  <c r="E495" i="8"/>
  <c r="I495" i="8" s="1"/>
  <c r="C492" i="8"/>
  <c r="E491" i="8"/>
  <c r="I491" i="8" s="1"/>
  <c r="C488" i="8"/>
  <c r="E487" i="8"/>
  <c r="F487" i="8" s="1"/>
  <c r="C484" i="8"/>
  <c r="E483" i="8"/>
  <c r="F483" i="8" s="1"/>
  <c r="C480" i="8"/>
  <c r="E479" i="8"/>
  <c r="F479" i="8" s="1"/>
  <c r="C476" i="8"/>
  <c r="E475" i="8"/>
  <c r="I475" i="8" s="1"/>
  <c r="C472" i="8"/>
  <c r="E471" i="8"/>
  <c r="I471" i="8" s="1"/>
  <c r="C468" i="8"/>
  <c r="E467" i="8"/>
  <c r="F467" i="8" s="1"/>
  <c r="C464" i="8"/>
  <c r="E463" i="8"/>
  <c r="F463" i="8" s="1"/>
  <c r="C460" i="8"/>
  <c r="E459" i="8"/>
  <c r="F459" i="8" s="1"/>
  <c r="I456" i="8"/>
  <c r="E455" i="8"/>
  <c r="B454" i="8"/>
  <c r="I448" i="8"/>
  <c r="B446" i="8"/>
  <c r="E441" i="8"/>
  <c r="F441" i="8" s="1"/>
  <c r="B432" i="8"/>
  <c r="D432" i="8"/>
  <c r="H432" i="8"/>
  <c r="D411" i="8"/>
  <c r="E411" i="8" s="1"/>
  <c r="B411" i="8"/>
  <c r="C411" i="8"/>
  <c r="G411" i="8"/>
  <c r="H411" i="8"/>
  <c r="H356" i="8"/>
  <c r="B356" i="8"/>
  <c r="C356" i="8"/>
  <c r="D356" i="8"/>
  <c r="G356" i="8"/>
  <c r="I487" i="8"/>
  <c r="B420" i="8"/>
  <c r="D420" i="8"/>
  <c r="E420" i="8"/>
  <c r="F420" i="8" s="1"/>
  <c r="G420" i="8"/>
  <c r="H420" i="8"/>
  <c r="D496" i="8"/>
  <c r="D492" i="8"/>
  <c r="D484" i="8"/>
  <c r="E484" i="8" s="1"/>
  <c r="D472" i="8"/>
  <c r="H456" i="8"/>
  <c r="D451" i="8"/>
  <c r="E451" i="8" s="1"/>
  <c r="H448" i="8"/>
  <c r="B421" i="8"/>
  <c r="H409" i="8"/>
  <c r="C409" i="8"/>
  <c r="D409" i="8"/>
  <c r="G409" i="8"/>
  <c r="H360" i="8"/>
  <c r="B360" i="8"/>
  <c r="C360" i="8"/>
  <c r="D360" i="8"/>
  <c r="G360" i="8"/>
  <c r="F369" i="8"/>
  <c r="G332" i="8"/>
  <c r="H332" i="8"/>
  <c r="B332" i="8"/>
  <c r="C332" i="8"/>
  <c r="E332" i="8"/>
  <c r="F332" i="8" s="1"/>
  <c r="E329" i="8"/>
  <c r="F329" i="8" s="1"/>
  <c r="I329" i="8"/>
  <c r="B321" i="8"/>
  <c r="H321" i="8"/>
  <c r="C321" i="8"/>
  <c r="D321" i="8"/>
  <c r="E321" i="8" s="1"/>
  <c r="I306" i="8"/>
  <c r="E306" i="8"/>
  <c r="F306" i="8" s="1"/>
  <c r="I259" i="8"/>
  <c r="I168" i="8"/>
  <c r="F168" i="8"/>
  <c r="D437" i="8"/>
  <c r="E436" i="8"/>
  <c r="F436" i="8" s="1"/>
  <c r="C428" i="8"/>
  <c r="E428" i="8" s="1"/>
  <c r="G423" i="8"/>
  <c r="C417" i="8"/>
  <c r="D416" i="8"/>
  <c r="E415" i="8"/>
  <c r="F415" i="8" s="1"/>
  <c r="G412" i="8"/>
  <c r="H404" i="8"/>
  <c r="H403" i="8"/>
  <c r="G401" i="8"/>
  <c r="I394" i="8"/>
  <c r="D391" i="8"/>
  <c r="E391" i="8" s="1"/>
  <c r="G391" i="8"/>
  <c r="F390" i="8"/>
  <c r="D383" i="8"/>
  <c r="G383" i="8"/>
  <c r="F382" i="8"/>
  <c r="I378" i="8"/>
  <c r="I374" i="8"/>
  <c r="I370" i="8"/>
  <c r="I362" i="8"/>
  <c r="I354" i="8"/>
  <c r="F350" i="8"/>
  <c r="F346" i="8"/>
  <c r="H313" i="8"/>
  <c r="B313" i="8"/>
  <c r="C313" i="8"/>
  <c r="E313" i="8" s="1"/>
  <c r="D290" i="8"/>
  <c r="H290" i="8"/>
  <c r="B290" i="8"/>
  <c r="C290" i="8"/>
  <c r="E290" i="8" s="1"/>
  <c r="G290" i="8"/>
  <c r="D200" i="8"/>
  <c r="E200" i="8" s="1"/>
  <c r="B200" i="8"/>
  <c r="C200" i="8"/>
  <c r="G200" i="8"/>
  <c r="H200" i="8"/>
  <c r="F418" i="8"/>
  <c r="B417" i="8"/>
  <c r="C416" i="8"/>
  <c r="G404" i="8"/>
  <c r="B392" i="8"/>
  <c r="C392" i="8"/>
  <c r="E392" i="8" s="1"/>
  <c r="H388" i="8"/>
  <c r="I386" i="8"/>
  <c r="B384" i="8"/>
  <c r="C384" i="8"/>
  <c r="E384" i="8" s="1"/>
  <c r="F384" i="8" s="1"/>
  <c r="H380" i="8"/>
  <c r="G336" i="8"/>
  <c r="H336" i="8"/>
  <c r="B336" i="8"/>
  <c r="C336" i="8"/>
  <c r="E336" i="8" s="1"/>
  <c r="I336" i="8" s="1"/>
  <c r="E333" i="8"/>
  <c r="I333" i="8" s="1"/>
  <c r="D315" i="8"/>
  <c r="H315" i="8"/>
  <c r="B315" i="8"/>
  <c r="E207" i="8"/>
  <c r="I207" i="8" s="1"/>
  <c r="E423" i="8"/>
  <c r="I423" i="8" s="1"/>
  <c r="D413" i="8"/>
  <c r="B312" i="8"/>
  <c r="D312" i="8"/>
  <c r="C312" i="8"/>
  <c r="H312" i="8"/>
  <c r="H428" i="8"/>
  <c r="F426" i="8"/>
  <c r="C423" i="8"/>
  <c r="H418" i="8"/>
  <c r="C413" i="8"/>
  <c r="D412" i="8"/>
  <c r="I406" i="8"/>
  <c r="D404" i="8"/>
  <c r="C403" i="8"/>
  <c r="D401" i="8"/>
  <c r="B396" i="8"/>
  <c r="E396" i="8"/>
  <c r="I396" i="8" s="1"/>
  <c r="D395" i="8"/>
  <c r="G395" i="8"/>
  <c r="F394" i="8"/>
  <c r="H393" i="8"/>
  <c r="C393" i="8"/>
  <c r="E393" i="8" s="1"/>
  <c r="B379" i="8"/>
  <c r="D379" i="8"/>
  <c r="G379" i="8"/>
  <c r="F378" i="8"/>
  <c r="B375" i="8"/>
  <c r="D375" i="8"/>
  <c r="E375" i="8" s="1"/>
  <c r="G375" i="8"/>
  <c r="F374" i="8"/>
  <c r="B371" i="8"/>
  <c r="D371" i="8"/>
  <c r="G371" i="8"/>
  <c r="F370" i="8"/>
  <c r="B367" i="8"/>
  <c r="D367" i="8"/>
  <c r="E367" i="8" s="1"/>
  <c r="G367" i="8"/>
  <c r="B363" i="8"/>
  <c r="D363" i="8"/>
  <c r="E363" i="8" s="1"/>
  <c r="G363" i="8"/>
  <c r="F362" i="8"/>
  <c r="B359" i="8"/>
  <c r="D359" i="8"/>
  <c r="E359" i="8" s="1"/>
  <c r="G359" i="8"/>
  <c r="B355" i="8"/>
  <c r="D355" i="8"/>
  <c r="E355" i="8" s="1"/>
  <c r="G355" i="8"/>
  <c r="F354" i="8"/>
  <c r="B351" i="8"/>
  <c r="D351" i="8"/>
  <c r="E351" i="8" s="1"/>
  <c r="G351" i="8"/>
  <c r="B347" i="8"/>
  <c r="D347" i="8"/>
  <c r="E347" i="8"/>
  <c r="G347" i="8"/>
  <c r="B343" i="8"/>
  <c r="D343" i="8"/>
  <c r="E343" i="8" s="1"/>
  <c r="G343" i="8"/>
  <c r="E337" i="8"/>
  <c r="F337" i="8" s="1"/>
  <c r="G325" i="8"/>
  <c r="H318" i="8"/>
  <c r="B318" i="8"/>
  <c r="C318" i="8"/>
  <c r="E318" i="8" s="1"/>
  <c r="F318" i="8" s="1"/>
  <c r="I436" i="8"/>
  <c r="E430" i="8"/>
  <c r="I430" i="8" s="1"/>
  <c r="G428" i="8"/>
  <c r="I426" i="8"/>
  <c r="B423" i="8"/>
  <c r="F419" i="8"/>
  <c r="G418" i="8"/>
  <c r="G417" i="8"/>
  <c r="H416" i="8"/>
  <c r="I415" i="8"/>
  <c r="F414" i="8"/>
  <c r="B413" i="8"/>
  <c r="C412" i="8"/>
  <c r="B400" i="8"/>
  <c r="E400" i="8"/>
  <c r="I400" i="8" s="1"/>
  <c r="D399" i="8"/>
  <c r="G399" i="8"/>
  <c r="H397" i="8"/>
  <c r="C397" i="8"/>
  <c r="E397" i="8" s="1"/>
  <c r="H391" i="8"/>
  <c r="D387" i="8"/>
  <c r="E387" i="8" s="1"/>
  <c r="G387" i="8"/>
  <c r="F386" i="8"/>
  <c r="H383" i="8"/>
  <c r="G340" i="8"/>
  <c r="H340" i="8"/>
  <c r="B340" i="8"/>
  <c r="C340" i="8"/>
  <c r="E340" i="8"/>
  <c r="I332" i="8"/>
  <c r="H322" i="8"/>
  <c r="G322" i="8"/>
  <c r="B322" i="8"/>
  <c r="C322" i="8"/>
  <c r="E322" i="8" s="1"/>
  <c r="B404" i="8"/>
  <c r="D403" i="8"/>
  <c r="G403" i="8"/>
  <c r="H401" i="8"/>
  <c r="C401" i="8"/>
  <c r="E401" i="8" s="1"/>
  <c r="F401" i="8" s="1"/>
  <c r="I390" i="8"/>
  <c r="B388" i="8"/>
  <c r="C388" i="8"/>
  <c r="E388" i="8" s="1"/>
  <c r="I382" i="8"/>
  <c r="B380" i="8"/>
  <c r="C380" i="8"/>
  <c r="E380" i="8"/>
  <c r="I380" i="8" s="1"/>
  <c r="G328" i="8"/>
  <c r="H328" i="8"/>
  <c r="B328" i="8"/>
  <c r="C328" i="8"/>
  <c r="E328" i="8" s="1"/>
  <c r="B325" i="8"/>
  <c r="E325" i="8"/>
  <c r="I325" i="8" s="1"/>
  <c r="H325" i="8"/>
  <c r="C325" i="8"/>
  <c r="G321" i="8"/>
  <c r="B292" i="8"/>
  <c r="C292" i="8"/>
  <c r="D292" i="8"/>
  <c r="G292" i="8"/>
  <c r="H292" i="8"/>
  <c r="E234" i="8"/>
  <c r="I234" i="8" s="1"/>
  <c r="C389" i="8"/>
  <c r="E389" i="8" s="1"/>
  <c r="C385" i="8"/>
  <c r="E385" i="8" s="1"/>
  <c r="C381" i="8"/>
  <c r="E381" i="8" s="1"/>
  <c r="C377" i="8"/>
  <c r="E377" i="8" s="1"/>
  <c r="F377" i="8" s="1"/>
  <c r="C373" i="8"/>
  <c r="E373" i="8" s="1"/>
  <c r="F373" i="8" s="1"/>
  <c r="C369" i="8"/>
  <c r="E369" i="8" s="1"/>
  <c r="I369" i="8" s="1"/>
  <c r="C365" i="8"/>
  <c r="E365" i="8" s="1"/>
  <c r="I365" i="8" s="1"/>
  <c r="C361" i="8"/>
  <c r="E361" i="8" s="1"/>
  <c r="F361" i="8" s="1"/>
  <c r="C357" i="8"/>
  <c r="E357" i="8" s="1"/>
  <c r="F357" i="8" s="1"/>
  <c r="C353" i="8"/>
  <c r="E353" i="8" s="1"/>
  <c r="I353" i="8" s="1"/>
  <c r="I350" i="8"/>
  <c r="C349" i="8"/>
  <c r="E349" i="8" s="1"/>
  <c r="I349" i="8" s="1"/>
  <c r="I346" i="8"/>
  <c r="C345" i="8"/>
  <c r="E345" i="8" s="1"/>
  <c r="F345" i="8" s="1"/>
  <c r="C341" i="8"/>
  <c r="E341" i="8" s="1"/>
  <c r="G339" i="8"/>
  <c r="I338" i="8"/>
  <c r="C337" i="8"/>
  <c r="G335" i="8"/>
  <c r="G331" i="8"/>
  <c r="G327" i="8"/>
  <c r="C324" i="8"/>
  <c r="E324" i="8" s="1"/>
  <c r="D323" i="8"/>
  <c r="G320" i="8"/>
  <c r="H319" i="8"/>
  <c r="C314" i="8"/>
  <c r="E314" i="8" s="1"/>
  <c r="D307" i="8"/>
  <c r="G307" i="8"/>
  <c r="G304" i="8"/>
  <c r="D303" i="8"/>
  <c r="B303" i="8"/>
  <c r="C303" i="8"/>
  <c r="G303" i="8"/>
  <c r="H297" i="8"/>
  <c r="G297" i="8"/>
  <c r="B297" i="8"/>
  <c r="C297" i="8"/>
  <c r="E297" i="8"/>
  <c r="I297" i="8" s="1"/>
  <c r="B308" i="8"/>
  <c r="D308" i="8"/>
  <c r="E308" i="8" s="1"/>
  <c r="H293" i="8"/>
  <c r="B293" i="8"/>
  <c r="C293" i="8"/>
  <c r="E293" i="8" s="1"/>
  <c r="B264" i="8"/>
  <c r="C264" i="8"/>
  <c r="D264" i="8"/>
  <c r="G264" i="8"/>
  <c r="H264" i="8"/>
  <c r="B252" i="8"/>
  <c r="C252" i="8"/>
  <c r="D252" i="8"/>
  <c r="G252" i="8"/>
  <c r="H252" i="8"/>
  <c r="B244" i="8"/>
  <c r="C244" i="8"/>
  <c r="D244" i="8"/>
  <c r="G244" i="8"/>
  <c r="B220" i="8"/>
  <c r="C220" i="8"/>
  <c r="E220" i="8" s="1"/>
  <c r="I220" i="8" s="1"/>
  <c r="D220" i="8"/>
  <c r="G220" i="8"/>
  <c r="H220" i="8"/>
  <c r="E335" i="8"/>
  <c r="E327" i="8"/>
  <c r="H311" i="8"/>
  <c r="H301" i="8"/>
  <c r="D301" i="8"/>
  <c r="G301" i="8"/>
  <c r="B260" i="8"/>
  <c r="C260" i="8"/>
  <c r="D260" i="8"/>
  <c r="G260" i="8"/>
  <c r="H260" i="8"/>
  <c r="H153" i="8"/>
  <c r="D153" i="8"/>
  <c r="E153" i="8"/>
  <c r="I153" i="8" s="1"/>
  <c r="G153" i="8"/>
  <c r="B153" i="8"/>
  <c r="C153" i="8"/>
  <c r="D339" i="8"/>
  <c r="E339" i="8" s="1"/>
  <c r="D335" i="8"/>
  <c r="D331" i="8"/>
  <c r="D327" i="8"/>
  <c r="C320" i="8"/>
  <c r="E320" i="8" s="1"/>
  <c r="D319" i="8"/>
  <c r="E311" i="8"/>
  <c r="F311" i="8" s="1"/>
  <c r="H309" i="8"/>
  <c r="B309" i="8"/>
  <c r="C309" i="8"/>
  <c r="E309" i="8" s="1"/>
  <c r="B304" i="8"/>
  <c r="D304" i="8"/>
  <c r="E304" i="8"/>
  <c r="G300" i="8"/>
  <c r="B296" i="8"/>
  <c r="H296" i="8"/>
  <c r="C296" i="8"/>
  <c r="D296" i="8"/>
  <c r="B282" i="8"/>
  <c r="C282" i="8"/>
  <c r="D282" i="8"/>
  <c r="G282" i="8"/>
  <c r="E276" i="8"/>
  <c r="F276" i="8" s="1"/>
  <c r="E233" i="8"/>
  <c r="I233" i="8" s="1"/>
  <c r="F233" i="8"/>
  <c r="D279" i="8"/>
  <c r="E279" i="8"/>
  <c r="I279" i="8" s="1"/>
  <c r="G279" i="8"/>
  <c r="H279" i="8"/>
  <c r="B279" i="8"/>
  <c r="F277" i="8"/>
  <c r="E241" i="8"/>
  <c r="F241" i="8" s="1"/>
  <c r="I213" i="8"/>
  <c r="E213" i="8"/>
  <c r="F213" i="8"/>
  <c r="H308" i="8"/>
  <c r="H305" i="8"/>
  <c r="B305" i="8"/>
  <c r="C305" i="8"/>
  <c r="E305" i="8" s="1"/>
  <c r="C302" i="8"/>
  <c r="D302" i="8"/>
  <c r="G302" i="8"/>
  <c r="H302" i="8"/>
  <c r="F288" i="8"/>
  <c r="E261" i="8"/>
  <c r="F261" i="8" s="1"/>
  <c r="E253" i="8"/>
  <c r="D311" i="8"/>
  <c r="G311" i="8"/>
  <c r="G308" i="8"/>
  <c r="B300" i="8"/>
  <c r="E300" i="8"/>
  <c r="I300" i="8" s="1"/>
  <c r="H300" i="8"/>
  <c r="E289" i="8"/>
  <c r="I289" i="8" s="1"/>
  <c r="H268" i="8"/>
  <c r="E257" i="8"/>
  <c r="F257" i="8" s="1"/>
  <c r="B256" i="8"/>
  <c r="C256" i="8"/>
  <c r="D256" i="8"/>
  <c r="G256" i="8"/>
  <c r="B232" i="8"/>
  <c r="C232" i="8"/>
  <c r="D232" i="8"/>
  <c r="G232" i="8"/>
  <c r="I221" i="8"/>
  <c r="E221" i="8"/>
  <c r="F221" i="8" s="1"/>
  <c r="D208" i="8"/>
  <c r="E208" i="8" s="1"/>
  <c r="G208" i="8"/>
  <c r="H208" i="8"/>
  <c r="B208" i="8"/>
  <c r="H198" i="8"/>
  <c r="D198" i="8"/>
  <c r="E198" i="8" s="1"/>
  <c r="G198" i="8"/>
  <c r="B198" i="8"/>
  <c r="E195" i="8"/>
  <c r="I195" i="8" s="1"/>
  <c r="B193" i="8"/>
  <c r="G193" i="8"/>
  <c r="H193" i="8"/>
  <c r="C193" i="8"/>
  <c r="E193" i="8" s="1"/>
  <c r="E183" i="8"/>
  <c r="I183" i="8" s="1"/>
  <c r="B152" i="8"/>
  <c r="G152" i="8"/>
  <c r="H152" i="8"/>
  <c r="C152" i="8"/>
  <c r="E152" i="8" s="1"/>
  <c r="D152" i="8"/>
  <c r="H291" i="8"/>
  <c r="C286" i="8"/>
  <c r="E286" i="8" s="1"/>
  <c r="D285" i="8"/>
  <c r="G281" i="8"/>
  <c r="H280" i="8"/>
  <c r="F278" i="8"/>
  <c r="C275" i="8"/>
  <c r="E275" i="8" s="1"/>
  <c r="F275" i="8" s="1"/>
  <c r="G271" i="8"/>
  <c r="G266" i="8"/>
  <c r="H266" i="8"/>
  <c r="D262" i="8"/>
  <c r="D254" i="8"/>
  <c r="H248" i="8"/>
  <c r="E245" i="8"/>
  <c r="F245" i="8" s="1"/>
  <c r="B224" i="8"/>
  <c r="C224" i="8"/>
  <c r="D224" i="8"/>
  <c r="G224" i="8"/>
  <c r="B211" i="8"/>
  <c r="C211" i="8"/>
  <c r="D211" i="8"/>
  <c r="G211" i="8"/>
  <c r="B197" i="8"/>
  <c r="G197" i="8"/>
  <c r="H197" i="8"/>
  <c r="C197" i="8"/>
  <c r="E197" i="8" s="1"/>
  <c r="F197" i="8" s="1"/>
  <c r="D192" i="8"/>
  <c r="G192" i="8"/>
  <c r="E192" i="8"/>
  <c r="F192" i="8" s="1"/>
  <c r="H192" i="8"/>
  <c r="B192" i="8"/>
  <c r="H190" i="8"/>
  <c r="C190" i="8"/>
  <c r="E190" i="8" s="1"/>
  <c r="G190" i="8"/>
  <c r="B190" i="8"/>
  <c r="I169" i="8"/>
  <c r="F169" i="8"/>
  <c r="H310" i="8"/>
  <c r="I299" i="8"/>
  <c r="F298" i="8"/>
  <c r="C295" i="8"/>
  <c r="E295" i="8" s="1"/>
  <c r="D294" i="8"/>
  <c r="G291" i="8"/>
  <c r="I288" i="8"/>
  <c r="B286" i="8"/>
  <c r="C285" i="8"/>
  <c r="D284" i="8"/>
  <c r="E283" i="8"/>
  <c r="I283" i="8" s="1"/>
  <c r="G280" i="8"/>
  <c r="I278" i="8"/>
  <c r="B275" i="8"/>
  <c r="D273" i="8"/>
  <c r="D270" i="8"/>
  <c r="I269" i="8"/>
  <c r="D267" i="8"/>
  <c r="B236" i="8"/>
  <c r="C236" i="8"/>
  <c r="D236" i="8"/>
  <c r="E236" i="8"/>
  <c r="G236" i="8"/>
  <c r="I225" i="8"/>
  <c r="E225" i="8"/>
  <c r="F225" i="8" s="1"/>
  <c r="B268" i="8"/>
  <c r="C268" i="8"/>
  <c r="D268" i="8"/>
  <c r="E268" i="8" s="1"/>
  <c r="F268" i="8" s="1"/>
  <c r="G254" i="8"/>
  <c r="H254" i="8"/>
  <c r="C254" i="8"/>
  <c r="B248" i="8"/>
  <c r="C248" i="8"/>
  <c r="D248" i="8"/>
  <c r="E248" i="8" s="1"/>
  <c r="G248" i="8"/>
  <c r="E237" i="8"/>
  <c r="F237" i="8" s="1"/>
  <c r="I189" i="8"/>
  <c r="D155" i="8"/>
  <c r="B155" i="8"/>
  <c r="C155" i="8"/>
  <c r="G155" i="8"/>
  <c r="H155" i="8"/>
  <c r="E143" i="8"/>
  <c r="I143" i="8"/>
  <c r="F143" i="8"/>
  <c r="B283" i="8"/>
  <c r="D281" i="8"/>
  <c r="G278" i="8"/>
  <c r="I275" i="8"/>
  <c r="B273" i="8"/>
  <c r="C272" i="8"/>
  <c r="E272" i="8" s="1"/>
  <c r="G262" i="8"/>
  <c r="H262" i="8"/>
  <c r="G258" i="8"/>
  <c r="H258" i="8"/>
  <c r="C258" i="8"/>
  <c r="E258" i="8" s="1"/>
  <c r="H256" i="8"/>
  <c r="B228" i="8"/>
  <c r="C228" i="8"/>
  <c r="D228" i="8"/>
  <c r="G228" i="8"/>
  <c r="E191" i="8"/>
  <c r="I191" i="8" s="1"/>
  <c r="B128" i="8"/>
  <c r="C128" i="8"/>
  <c r="E128" i="8" s="1"/>
  <c r="F128" i="8" s="1"/>
  <c r="D128" i="8"/>
  <c r="G128" i="8"/>
  <c r="H128" i="8"/>
  <c r="C291" i="8"/>
  <c r="E291" i="8" s="1"/>
  <c r="H286" i="8"/>
  <c r="C281" i="8"/>
  <c r="D280" i="8"/>
  <c r="H275" i="8"/>
  <c r="D271" i="8"/>
  <c r="G270" i="8"/>
  <c r="E266" i="8"/>
  <c r="F266" i="8" s="1"/>
  <c r="I265" i="8"/>
  <c r="D263" i="8"/>
  <c r="E263" i="8" s="1"/>
  <c r="B240" i="8"/>
  <c r="C240" i="8"/>
  <c r="D240" i="8"/>
  <c r="E240" i="8" s="1"/>
  <c r="G240" i="8"/>
  <c r="H232" i="8"/>
  <c r="I231" i="8"/>
  <c r="E229" i="8"/>
  <c r="F229" i="8" s="1"/>
  <c r="C172" i="8"/>
  <c r="D172" i="8"/>
  <c r="E172" i="8"/>
  <c r="F172" i="8" s="1"/>
  <c r="G172" i="8"/>
  <c r="B172" i="8"/>
  <c r="E162" i="8"/>
  <c r="I162" i="8" s="1"/>
  <c r="E148" i="8"/>
  <c r="F148" i="8"/>
  <c r="C250" i="8"/>
  <c r="E250" i="8" s="1"/>
  <c r="I250" i="8" s="1"/>
  <c r="C246" i="8"/>
  <c r="E246" i="8" s="1"/>
  <c r="I246" i="8" s="1"/>
  <c r="C242" i="8"/>
  <c r="E242" i="8" s="1"/>
  <c r="I242" i="8" s="1"/>
  <c r="C238" i="8"/>
  <c r="E238" i="8" s="1"/>
  <c r="F238" i="8" s="1"/>
  <c r="C234" i="8"/>
  <c r="C230" i="8"/>
  <c r="E230" i="8" s="1"/>
  <c r="C226" i="8"/>
  <c r="E226" i="8" s="1"/>
  <c r="F226" i="8" s="1"/>
  <c r="C222" i="8"/>
  <c r="E222" i="8" s="1"/>
  <c r="I222" i="8" s="1"/>
  <c r="C218" i="8"/>
  <c r="E218" i="8" s="1"/>
  <c r="F218" i="8" s="1"/>
  <c r="G216" i="8"/>
  <c r="C214" i="8"/>
  <c r="E214" i="8" s="1"/>
  <c r="G212" i="8"/>
  <c r="D206" i="8"/>
  <c r="G202" i="8"/>
  <c r="H201" i="8"/>
  <c r="C196" i="8"/>
  <c r="E196" i="8" s="1"/>
  <c r="B189" i="8"/>
  <c r="E189" i="8"/>
  <c r="D188" i="8"/>
  <c r="E188" i="8" s="1"/>
  <c r="F188" i="8" s="1"/>
  <c r="G188" i="8"/>
  <c r="H180" i="8"/>
  <c r="I179" i="8"/>
  <c r="B132" i="8"/>
  <c r="C132" i="8"/>
  <c r="D132" i="8"/>
  <c r="E132" i="8" s="1"/>
  <c r="G132" i="8"/>
  <c r="H132" i="8"/>
  <c r="B118" i="8"/>
  <c r="D118" i="8"/>
  <c r="C118" i="8"/>
  <c r="G118" i="8"/>
  <c r="H118" i="8"/>
  <c r="F207" i="8"/>
  <c r="B206" i="8"/>
  <c r="C205" i="8"/>
  <c r="E205" i="8" s="1"/>
  <c r="F195" i="8"/>
  <c r="H194" i="8"/>
  <c r="C194" i="8"/>
  <c r="E194" i="8" s="1"/>
  <c r="F194" i="8" s="1"/>
  <c r="D184" i="8"/>
  <c r="E184" i="8" s="1"/>
  <c r="G184" i="8"/>
  <c r="B164" i="8"/>
  <c r="D164" i="8"/>
  <c r="E164" i="8" s="1"/>
  <c r="F164" i="8" s="1"/>
  <c r="G164" i="8"/>
  <c r="H164" i="8"/>
  <c r="D117" i="8"/>
  <c r="E117" i="8" s="1"/>
  <c r="B117" i="8"/>
  <c r="C117" i="8"/>
  <c r="G117" i="8"/>
  <c r="H117" i="8"/>
  <c r="H250" i="8"/>
  <c r="F247" i="8"/>
  <c r="H246" i="8"/>
  <c r="H242" i="8"/>
  <c r="H238" i="8"/>
  <c r="H234" i="8"/>
  <c r="H230" i="8"/>
  <c r="H226" i="8"/>
  <c r="H222" i="8"/>
  <c r="H218" i="8"/>
  <c r="D216" i="8"/>
  <c r="D212" i="8"/>
  <c r="D202" i="8"/>
  <c r="E202" i="8" s="1"/>
  <c r="D180" i="8"/>
  <c r="E180" i="8" s="1"/>
  <c r="F180" i="8" s="1"/>
  <c r="G180" i="8"/>
  <c r="F179" i="8"/>
  <c r="C176" i="8"/>
  <c r="D176" i="8"/>
  <c r="G176" i="8"/>
  <c r="B166" i="8"/>
  <c r="C166" i="8"/>
  <c r="E166" i="8" s="1"/>
  <c r="D166" i="8"/>
  <c r="G166" i="8"/>
  <c r="F151" i="8"/>
  <c r="I151" i="8"/>
  <c r="E259" i="8"/>
  <c r="F259" i="8" s="1"/>
  <c r="E255" i="8"/>
  <c r="I255" i="8" s="1"/>
  <c r="E251" i="8"/>
  <c r="I251" i="8" s="1"/>
  <c r="G250" i="8"/>
  <c r="E247" i="8"/>
  <c r="I247" i="8" s="1"/>
  <c r="G246" i="8"/>
  <c r="E243" i="8"/>
  <c r="I243" i="8" s="1"/>
  <c r="G242" i="8"/>
  <c r="E239" i="8"/>
  <c r="I239" i="8" s="1"/>
  <c r="G238" i="8"/>
  <c r="E235" i="8"/>
  <c r="I235" i="8" s="1"/>
  <c r="G234" i="8"/>
  <c r="E231" i="8"/>
  <c r="F231" i="8" s="1"/>
  <c r="G230" i="8"/>
  <c r="E227" i="8"/>
  <c r="F227" i="8" s="1"/>
  <c r="G226" i="8"/>
  <c r="E223" i="8"/>
  <c r="F223" i="8" s="1"/>
  <c r="G222" i="8"/>
  <c r="E219" i="8"/>
  <c r="F219" i="8" s="1"/>
  <c r="G218" i="8"/>
  <c r="C216" i="8"/>
  <c r="E215" i="8"/>
  <c r="I215" i="8" s="1"/>
  <c r="G214" i="8"/>
  <c r="C212" i="8"/>
  <c r="H207" i="8"/>
  <c r="C202" i="8"/>
  <c r="D201" i="8"/>
  <c r="H196" i="8"/>
  <c r="I194" i="8"/>
  <c r="G189" i="8"/>
  <c r="B185" i="8"/>
  <c r="C185" i="8"/>
  <c r="D185" i="8"/>
  <c r="E185" i="8" s="1"/>
  <c r="F161" i="8"/>
  <c r="E127" i="8"/>
  <c r="F127" i="8" s="1"/>
  <c r="D210" i="8"/>
  <c r="G207" i="8"/>
  <c r="G206" i="8"/>
  <c r="H205" i="8"/>
  <c r="F203" i="8"/>
  <c r="B202" i="8"/>
  <c r="C201" i="8"/>
  <c r="D199" i="8"/>
  <c r="G196" i="8"/>
  <c r="G194" i="8"/>
  <c r="F189" i="8"/>
  <c r="B181" i="8"/>
  <c r="C181" i="8"/>
  <c r="D181" i="8"/>
  <c r="E171" i="8"/>
  <c r="I171" i="8" s="1"/>
  <c r="D163" i="8"/>
  <c r="E163" i="8" s="1"/>
  <c r="G163" i="8"/>
  <c r="H163" i="8"/>
  <c r="B163" i="8"/>
  <c r="I133" i="8"/>
  <c r="F145" i="8"/>
  <c r="B144" i="8"/>
  <c r="C144" i="8"/>
  <c r="G144" i="8"/>
  <c r="B140" i="8"/>
  <c r="C140" i="8"/>
  <c r="E140" i="8" s="1"/>
  <c r="G140" i="8"/>
  <c r="C186" i="8"/>
  <c r="E186" i="8" s="1"/>
  <c r="F186" i="8" s="1"/>
  <c r="C182" i="8"/>
  <c r="E182" i="8" s="1"/>
  <c r="C178" i="8"/>
  <c r="E178" i="8" s="1"/>
  <c r="C174" i="8"/>
  <c r="E174" i="8" s="1"/>
  <c r="C170" i="8"/>
  <c r="E170" i="8" s="1"/>
  <c r="F170" i="8" s="1"/>
  <c r="F162" i="8"/>
  <c r="B161" i="8"/>
  <c r="C160" i="8"/>
  <c r="E160" i="8" s="1"/>
  <c r="C159" i="8"/>
  <c r="E159" i="8" s="1"/>
  <c r="F159" i="8" s="1"/>
  <c r="H154" i="8"/>
  <c r="C149" i="8"/>
  <c r="E149" i="8" s="1"/>
  <c r="G138" i="8"/>
  <c r="H138" i="8"/>
  <c r="B138" i="8"/>
  <c r="C138" i="8"/>
  <c r="E138" i="8" s="1"/>
  <c r="E135" i="8"/>
  <c r="F135" i="8" s="1"/>
  <c r="I124" i="8"/>
  <c r="B97" i="8"/>
  <c r="C97" i="8"/>
  <c r="D97" i="8"/>
  <c r="E97" i="8" s="1"/>
  <c r="G97" i="8"/>
  <c r="H97" i="8"/>
  <c r="D177" i="8"/>
  <c r="D173" i="8"/>
  <c r="D157" i="8"/>
  <c r="G154" i="8"/>
  <c r="F150" i="8"/>
  <c r="B148" i="8"/>
  <c r="G148" i="8"/>
  <c r="I147" i="8"/>
  <c r="C146" i="8"/>
  <c r="E146" i="8" s="1"/>
  <c r="H116" i="8"/>
  <c r="B116" i="8"/>
  <c r="C116" i="8"/>
  <c r="D116" i="8"/>
  <c r="E116" i="8" s="1"/>
  <c r="G116" i="8"/>
  <c r="H106" i="8"/>
  <c r="B106" i="8"/>
  <c r="D106" i="8"/>
  <c r="C106" i="8"/>
  <c r="G106" i="8"/>
  <c r="C177" i="8"/>
  <c r="C173" i="8"/>
  <c r="E173" i="8" s="1"/>
  <c r="C167" i="8"/>
  <c r="E167" i="8" s="1"/>
  <c r="I167" i="8" s="1"/>
  <c r="I161" i="8"/>
  <c r="C157" i="8"/>
  <c r="D156" i="8"/>
  <c r="I150" i="8"/>
  <c r="H144" i="8"/>
  <c r="G142" i="8"/>
  <c r="B142" i="8"/>
  <c r="C142" i="8"/>
  <c r="E142" i="8" s="1"/>
  <c r="B136" i="8"/>
  <c r="C136" i="8"/>
  <c r="D136" i="8"/>
  <c r="G136" i="8"/>
  <c r="D80" i="8"/>
  <c r="G80" i="8"/>
  <c r="H80" i="8"/>
  <c r="B80" i="8"/>
  <c r="C80" i="8"/>
  <c r="E80" i="8" s="1"/>
  <c r="F80" i="8" s="1"/>
  <c r="B167" i="8"/>
  <c r="G162" i="8"/>
  <c r="G161" i="8"/>
  <c r="H160" i="8"/>
  <c r="I159" i="8"/>
  <c r="F158" i="8"/>
  <c r="B157" i="8"/>
  <c r="C156" i="8"/>
  <c r="D154" i="8"/>
  <c r="G151" i="8"/>
  <c r="H150" i="8"/>
  <c r="I148" i="8"/>
  <c r="H140" i="8"/>
  <c r="E131" i="8"/>
  <c r="F131" i="8" s="1"/>
  <c r="I123" i="8"/>
  <c r="B89" i="8"/>
  <c r="C89" i="8"/>
  <c r="D89" i="8"/>
  <c r="E89" i="8" s="1"/>
  <c r="H89" i="8"/>
  <c r="G89" i="8"/>
  <c r="C154" i="8"/>
  <c r="E154" i="8" s="1"/>
  <c r="G150" i="8"/>
  <c r="H148" i="8"/>
  <c r="E144" i="8"/>
  <c r="I144" i="8" s="1"/>
  <c r="H119" i="8"/>
  <c r="B119" i="8"/>
  <c r="D119" i="8"/>
  <c r="E119" i="8" s="1"/>
  <c r="G119" i="8"/>
  <c r="H111" i="8"/>
  <c r="B111" i="8"/>
  <c r="F95" i="8"/>
  <c r="F91" i="8"/>
  <c r="B60" i="8"/>
  <c r="D60" i="8"/>
  <c r="G60" i="8"/>
  <c r="H60" i="8"/>
  <c r="C60" i="8"/>
  <c r="E145" i="8"/>
  <c r="I145" i="8" s="1"/>
  <c r="E141" i="8"/>
  <c r="F141" i="8" s="1"/>
  <c r="E137" i="8"/>
  <c r="F137" i="8" s="1"/>
  <c r="C134" i="8"/>
  <c r="E134" i="8" s="1"/>
  <c r="I134" i="8" s="1"/>
  <c r="E133" i="8"/>
  <c r="F133" i="8" s="1"/>
  <c r="C130" i="8"/>
  <c r="E130" i="8" s="1"/>
  <c r="E129" i="8"/>
  <c r="F129" i="8" s="1"/>
  <c r="B125" i="8"/>
  <c r="C124" i="8"/>
  <c r="E124" i="8" s="1"/>
  <c r="B122" i="8"/>
  <c r="D122" i="8"/>
  <c r="D121" i="8"/>
  <c r="H120" i="8"/>
  <c r="G109" i="8"/>
  <c r="H107" i="8"/>
  <c r="B107" i="8"/>
  <c r="H101" i="8"/>
  <c r="B93" i="8"/>
  <c r="C93" i="8"/>
  <c r="D93" i="8"/>
  <c r="E93" i="8" s="1"/>
  <c r="I93" i="8" s="1"/>
  <c r="E79" i="8"/>
  <c r="I79" i="8" s="1"/>
  <c r="D18" i="8"/>
  <c r="G18" i="8"/>
  <c r="H18" i="8"/>
  <c r="B18" i="8"/>
  <c r="B134" i="8"/>
  <c r="B130" i="8"/>
  <c r="H123" i="8"/>
  <c r="B123" i="8"/>
  <c r="F115" i="8"/>
  <c r="D112" i="8"/>
  <c r="E112" i="8" s="1"/>
  <c r="H112" i="8"/>
  <c r="C104" i="8"/>
  <c r="F103" i="8"/>
  <c r="H103" i="8"/>
  <c r="B103" i="8"/>
  <c r="G101" i="8"/>
  <c r="D100" i="8"/>
  <c r="E100" i="8" s="1"/>
  <c r="I100" i="8" s="1"/>
  <c r="H100" i="8"/>
  <c r="D88" i="8"/>
  <c r="E88" i="8"/>
  <c r="F88" i="8"/>
  <c r="G88" i="8"/>
  <c r="H88" i="8"/>
  <c r="B88" i="8"/>
  <c r="H70" i="8"/>
  <c r="D70" i="8"/>
  <c r="E70" i="8"/>
  <c r="G70" i="8"/>
  <c r="B70" i="8"/>
  <c r="D34" i="8"/>
  <c r="G34" i="8"/>
  <c r="H34" i="8"/>
  <c r="C34" i="8"/>
  <c r="B34" i="8"/>
  <c r="F124" i="8"/>
  <c r="B113" i="8"/>
  <c r="D113" i="8"/>
  <c r="E113" i="8" s="1"/>
  <c r="I113" i="8" s="1"/>
  <c r="D108" i="8"/>
  <c r="E108" i="8" s="1"/>
  <c r="H108" i="8"/>
  <c r="H134" i="8"/>
  <c r="H130" i="8"/>
  <c r="G111" i="8"/>
  <c r="B109" i="8"/>
  <c r="D109" i="8"/>
  <c r="E109" i="8" s="1"/>
  <c r="D104" i="8"/>
  <c r="H104" i="8"/>
  <c r="B101" i="8"/>
  <c r="C101" i="8"/>
  <c r="D101" i="8"/>
  <c r="D96" i="8"/>
  <c r="G96" i="8"/>
  <c r="H96" i="8"/>
  <c r="D92" i="8"/>
  <c r="G92" i="8"/>
  <c r="H92" i="8"/>
  <c r="B92" i="8"/>
  <c r="D72" i="8"/>
  <c r="B72" i="8"/>
  <c r="C72" i="8"/>
  <c r="G72" i="8"/>
  <c r="B69" i="8"/>
  <c r="G69" i="8"/>
  <c r="H69" i="8"/>
  <c r="C69" i="8"/>
  <c r="E69" i="8" s="1"/>
  <c r="I69" i="8" s="1"/>
  <c r="E66" i="8"/>
  <c r="I66" i="8" s="1"/>
  <c r="F66" i="8"/>
  <c r="H56" i="8"/>
  <c r="B56" i="8"/>
  <c r="D56" i="8"/>
  <c r="G56" i="8"/>
  <c r="C56" i="8"/>
  <c r="E56" i="8"/>
  <c r="F56" i="8" s="1"/>
  <c r="G134" i="8"/>
  <c r="G130" i="8"/>
  <c r="G125" i="8"/>
  <c r="H124" i="8"/>
  <c r="G123" i="8"/>
  <c r="B114" i="8"/>
  <c r="D114" i="8"/>
  <c r="B105" i="8"/>
  <c r="D105" i="8"/>
  <c r="I103" i="8"/>
  <c r="D26" i="8"/>
  <c r="E26" i="8" s="1"/>
  <c r="G26" i="8"/>
  <c r="H26" i="8"/>
  <c r="B26" i="8"/>
  <c r="C26" i="8"/>
  <c r="E126" i="8"/>
  <c r="I126" i="8" s="1"/>
  <c r="G124" i="8"/>
  <c r="F123" i="8"/>
  <c r="D120" i="8"/>
  <c r="H115" i="8"/>
  <c r="B115" i="8"/>
  <c r="G112" i="8"/>
  <c r="D111" i="8"/>
  <c r="H110" i="8"/>
  <c r="B110" i="8"/>
  <c r="D110" i="8"/>
  <c r="E107" i="8"/>
  <c r="I107" i="8" s="1"/>
  <c r="G103" i="8"/>
  <c r="I95" i="8"/>
  <c r="I91" i="8"/>
  <c r="B83" i="8"/>
  <c r="C83" i="8"/>
  <c r="D83" i="8"/>
  <c r="E83" i="8" s="1"/>
  <c r="G83" i="8"/>
  <c r="F59" i="8"/>
  <c r="D58" i="8"/>
  <c r="F58" i="8" s="1"/>
  <c r="H58" i="8"/>
  <c r="C58" i="8"/>
  <c r="D38" i="8"/>
  <c r="E38" i="8" s="1"/>
  <c r="I38" i="8" s="1"/>
  <c r="G38" i="8"/>
  <c r="H38" i="8"/>
  <c r="C38" i="8"/>
  <c r="I63" i="8"/>
  <c r="E51" i="8"/>
  <c r="F51" i="8" s="1"/>
  <c r="D50" i="8"/>
  <c r="G50" i="8"/>
  <c r="H50" i="8"/>
  <c r="C50" i="8"/>
  <c r="D22" i="8"/>
  <c r="E22" i="8"/>
  <c r="G22" i="8"/>
  <c r="H22" i="8"/>
  <c r="B22" i="8"/>
  <c r="C22" i="8"/>
  <c r="D102" i="8"/>
  <c r="B99" i="8"/>
  <c r="D98" i="8"/>
  <c r="B95" i="8"/>
  <c r="D94" i="8"/>
  <c r="B91" i="8"/>
  <c r="D90" i="8"/>
  <c r="B87" i="8"/>
  <c r="D86" i="8"/>
  <c r="F84" i="8"/>
  <c r="G82" i="8"/>
  <c r="H81" i="8"/>
  <c r="B78" i="8"/>
  <c r="C77" i="8"/>
  <c r="E77" i="8" s="1"/>
  <c r="D75" i="8"/>
  <c r="H71" i="8"/>
  <c r="B61" i="8"/>
  <c r="E61" i="8"/>
  <c r="F61" i="8" s="1"/>
  <c r="D30" i="8"/>
  <c r="G30" i="8"/>
  <c r="H30" i="8"/>
  <c r="B30" i="8"/>
  <c r="C30" i="8"/>
  <c r="G81" i="8"/>
  <c r="G71" i="8"/>
  <c r="B65" i="8"/>
  <c r="E65" i="8"/>
  <c r="I65" i="8" s="1"/>
  <c r="D64" i="8"/>
  <c r="G64" i="8"/>
  <c r="F63" i="8"/>
  <c r="H62" i="8"/>
  <c r="C62" i="8"/>
  <c r="E62" i="8" s="1"/>
  <c r="F49" i="8"/>
  <c r="D46" i="8"/>
  <c r="G46" i="8"/>
  <c r="H46" i="8"/>
  <c r="C46" i="8"/>
  <c r="F39" i="8"/>
  <c r="B102" i="8"/>
  <c r="H99" i="8"/>
  <c r="B98" i="8"/>
  <c r="H95" i="8"/>
  <c r="B94" i="8"/>
  <c r="H91" i="8"/>
  <c r="B90" i="8"/>
  <c r="H87" i="8"/>
  <c r="B86" i="8"/>
  <c r="C85" i="8"/>
  <c r="E85" i="8" s="1"/>
  <c r="C84" i="8"/>
  <c r="E84" i="8" s="1"/>
  <c r="I84" i="8" s="1"/>
  <c r="H79" i="8"/>
  <c r="I78" i="8"/>
  <c r="C74" i="8"/>
  <c r="E74" i="8" s="1"/>
  <c r="D73" i="8"/>
  <c r="H68" i="8"/>
  <c r="G58" i="8"/>
  <c r="H57" i="8"/>
  <c r="B57" i="8"/>
  <c r="I55" i="8"/>
  <c r="D54" i="8"/>
  <c r="G54" i="8"/>
  <c r="H54" i="8"/>
  <c r="C54" i="8"/>
  <c r="G99" i="8"/>
  <c r="G95" i="8"/>
  <c r="G91" i="8"/>
  <c r="G87" i="8"/>
  <c r="B84" i="8"/>
  <c r="D82" i="8"/>
  <c r="E82" i="8" s="1"/>
  <c r="G78" i="8"/>
  <c r="H77" i="8"/>
  <c r="D71" i="8"/>
  <c r="G68" i="8"/>
  <c r="H67" i="8"/>
  <c r="H61" i="8"/>
  <c r="E58" i="8"/>
  <c r="I58" i="8" s="1"/>
  <c r="H52" i="8"/>
  <c r="B52" i="8"/>
  <c r="C52" i="8"/>
  <c r="D52" i="8"/>
  <c r="G52" i="8"/>
  <c r="D42" i="8"/>
  <c r="E42" i="8" s="1"/>
  <c r="G42" i="8"/>
  <c r="H42" i="8"/>
  <c r="C42" i="8"/>
  <c r="F35" i="8"/>
  <c r="C82" i="8"/>
  <c r="D81" i="8"/>
  <c r="E81" i="8" s="1"/>
  <c r="F78" i="8"/>
  <c r="G77" i="8"/>
  <c r="C71" i="8"/>
  <c r="G67" i="8"/>
  <c r="G66" i="8"/>
  <c r="H65" i="8"/>
  <c r="H64" i="8"/>
  <c r="G62" i="8"/>
  <c r="G61" i="8"/>
  <c r="I59" i="8"/>
  <c r="B58" i="8"/>
  <c r="B38" i="8"/>
  <c r="F23" i="8"/>
  <c r="E53" i="8"/>
  <c r="F53" i="8" s="1"/>
  <c r="I51" i="8"/>
  <c r="E49" i="8"/>
  <c r="I49" i="8" s="1"/>
  <c r="G48" i="8"/>
  <c r="E45" i="8"/>
  <c r="F45" i="8" s="1"/>
  <c r="G44" i="8"/>
  <c r="I43" i="8"/>
  <c r="E41" i="8"/>
  <c r="F41" i="8" s="1"/>
  <c r="G40" i="8"/>
  <c r="I39" i="8"/>
  <c r="E37" i="8"/>
  <c r="I37" i="8" s="1"/>
  <c r="G36" i="8"/>
  <c r="I35" i="8"/>
  <c r="E33" i="8"/>
  <c r="F33" i="8" s="1"/>
  <c r="G32" i="8"/>
  <c r="I31" i="8"/>
  <c r="E29" i="8"/>
  <c r="F29" i="8" s="1"/>
  <c r="G28" i="8"/>
  <c r="G24" i="8"/>
  <c r="I23" i="8"/>
  <c r="E21" i="8"/>
  <c r="F21" i="8" s="1"/>
  <c r="G20" i="8"/>
  <c r="I19" i="8"/>
  <c r="D48" i="8"/>
  <c r="D44" i="8"/>
  <c r="D40" i="8"/>
  <c r="D36" i="8"/>
  <c r="D32" i="8"/>
  <c r="D28" i="8"/>
  <c r="D24" i="8"/>
  <c r="D20" i="8"/>
  <c r="F19" i="8"/>
  <c r="C48" i="8"/>
  <c r="C44" i="8"/>
  <c r="C40" i="8"/>
  <c r="C36" i="8"/>
  <c r="C32" i="8"/>
  <c r="C28" i="8"/>
  <c r="C24" i="8"/>
  <c r="I21" i="8"/>
  <c r="C20" i="8"/>
  <c r="B48" i="8"/>
  <c r="B44" i="8"/>
  <c r="B40" i="8"/>
  <c r="B36" i="8"/>
  <c r="B32" i="8"/>
  <c r="B28" i="8"/>
  <c r="B24" i="8"/>
  <c r="W163" i="1"/>
  <c r="W133" i="1"/>
  <c r="W113" i="1"/>
  <c r="W93" i="1"/>
  <c r="W73" i="1"/>
  <c r="W43" i="1"/>
  <c r="W23" i="1"/>
  <c r="W3" i="1"/>
  <c r="D163" i="1"/>
  <c r="D133" i="1"/>
  <c r="D113" i="1"/>
  <c r="D93" i="1"/>
  <c r="D73" i="1"/>
  <c r="D43" i="1"/>
  <c r="D23" i="1"/>
  <c r="D3" i="1"/>
  <c r="V14" i="1"/>
  <c r="V15" i="1"/>
  <c r="V16" i="1"/>
  <c r="V17" i="1"/>
  <c r="V18" i="1"/>
  <c r="V19" i="1"/>
  <c r="V20" i="1"/>
  <c r="V21" i="1"/>
  <c r="V22" i="1"/>
  <c r="V13" i="1"/>
  <c r="V34" i="1"/>
  <c r="V35" i="1"/>
  <c r="V36" i="1"/>
  <c r="V37" i="1"/>
  <c r="V38" i="1"/>
  <c r="V39" i="1"/>
  <c r="V40" i="1"/>
  <c r="V41" i="1"/>
  <c r="V42" i="1"/>
  <c r="V33" i="1"/>
  <c r="V54" i="1"/>
  <c r="V55" i="1"/>
  <c r="V56" i="1"/>
  <c r="V57" i="1"/>
  <c r="V58" i="1"/>
  <c r="V59" i="1"/>
  <c r="V60" i="1"/>
  <c r="V61" i="1"/>
  <c r="V62" i="1"/>
  <c r="V53" i="1"/>
  <c r="V84" i="1"/>
  <c r="V85" i="1"/>
  <c r="V86" i="1"/>
  <c r="V87" i="1"/>
  <c r="V88" i="1"/>
  <c r="V89" i="1"/>
  <c r="V90" i="1"/>
  <c r="V91" i="1"/>
  <c r="V92" i="1"/>
  <c r="V83" i="1"/>
  <c r="V104" i="1"/>
  <c r="V105" i="1"/>
  <c r="V106" i="1"/>
  <c r="V107" i="1"/>
  <c r="V108" i="1"/>
  <c r="V109" i="1"/>
  <c r="V110" i="1"/>
  <c r="V111" i="1"/>
  <c r="V112" i="1"/>
  <c r="V103" i="1"/>
  <c r="V124" i="1"/>
  <c r="V125" i="1"/>
  <c r="V126" i="1"/>
  <c r="V127" i="1"/>
  <c r="V128" i="1"/>
  <c r="V129" i="1"/>
  <c r="V130" i="1"/>
  <c r="V131" i="1"/>
  <c r="V132" i="1"/>
  <c r="V123" i="1"/>
  <c r="V144" i="1"/>
  <c r="V145" i="1"/>
  <c r="V146" i="1"/>
  <c r="V147" i="1"/>
  <c r="V148" i="1"/>
  <c r="V149" i="1"/>
  <c r="V150" i="1"/>
  <c r="V151" i="1"/>
  <c r="V152" i="1"/>
  <c r="V143" i="1"/>
  <c r="V164" i="1"/>
  <c r="V165" i="1"/>
  <c r="V166" i="1"/>
  <c r="V167" i="1"/>
  <c r="V168" i="1"/>
  <c r="V169" i="1"/>
  <c r="V170" i="1"/>
  <c r="V171" i="1"/>
  <c r="V172" i="1"/>
  <c r="V163" i="1"/>
  <c r="V134" i="1"/>
  <c r="V135" i="1"/>
  <c r="V136" i="1"/>
  <c r="V137" i="1"/>
  <c r="V138" i="1"/>
  <c r="V139" i="1"/>
  <c r="V140" i="1"/>
  <c r="V141" i="1"/>
  <c r="V142" i="1"/>
  <c r="V133" i="1"/>
  <c r="V114" i="1"/>
  <c r="V115" i="1"/>
  <c r="V116" i="1"/>
  <c r="V117" i="1"/>
  <c r="V118" i="1"/>
  <c r="V119" i="1"/>
  <c r="V120" i="1"/>
  <c r="V121" i="1"/>
  <c r="V122" i="1"/>
  <c r="V113" i="1"/>
  <c r="V94" i="1"/>
  <c r="V95" i="1"/>
  <c r="V96" i="1"/>
  <c r="V97" i="1"/>
  <c r="V98" i="1"/>
  <c r="V99" i="1"/>
  <c r="V100" i="1"/>
  <c r="V101" i="1"/>
  <c r="V102" i="1"/>
  <c r="V93" i="1"/>
  <c r="V74" i="1"/>
  <c r="V75" i="1"/>
  <c r="V76" i="1"/>
  <c r="V77" i="1"/>
  <c r="V78" i="1"/>
  <c r="V79" i="1"/>
  <c r="V80" i="1"/>
  <c r="V81" i="1"/>
  <c r="V82" i="1"/>
  <c r="V73" i="1"/>
  <c r="V64" i="1"/>
  <c r="V65" i="1"/>
  <c r="V66" i="1"/>
  <c r="V67" i="1"/>
  <c r="V68" i="1"/>
  <c r="V69" i="1"/>
  <c r="V70" i="1"/>
  <c r="V71" i="1"/>
  <c r="V72" i="1"/>
  <c r="V63" i="1"/>
  <c r="I205" i="8" l="1"/>
  <c r="F205" i="8"/>
  <c r="I47" i="8"/>
  <c r="F47" i="8"/>
  <c r="I326" i="8"/>
  <c r="F326" i="8"/>
  <c r="F217" i="8"/>
  <c r="I217" i="8"/>
  <c r="F443" i="8"/>
  <c r="I443" i="8"/>
  <c r="F408" i="8"/>
  <c r="I408" i="8"/>
  <c r="I68" i="8"/>
  <c r="F68" i="8"/>
  <c r="F330" i="8"/>
  <c r="I330" i="8"/>
  <c r="F366" i="8"/>
  <c r="I366" i="8"/>
  <c r="I209" i="8"/>
  <c r="F209" i="8"/>
  <c r="F425" i="8"/>
  <c r="I425" i="8"/>
  <c r="I140" i="8"/>
  <c r="F140" i="8"/>
  <c r="F175" i="8"/>
  <c r="I175" i="8"/>
  <c r="I402" i="8"/>
  <c r="F402" i="8"/>
  <c r="I139" i="8"/>
  <c r="F139" i="8"/>
  <c r="F316" i="8"/>
  <c r="I116" i="8"/>
  <c r="F116" i="8"/>
  <c r="F117" i="8"/>
  <c r="I117" i="8"/>
  <c r="F486" i="8"/>
  <c r="I486" i="8"/>
  <c r="E57" i="8"/>
  <c r="I57" i="8" s="1"/>
  <c r="F99" i="8"/>
  <c r="I26" i="8"/>
  <c r="F113" i="8"/>
  <c r="E181" i="8"/>
  <c r="F181" i="8" s="1"/>
  <c r="E118" i="8"/>
  <c r="F171" i="8"/>
  <c r="E273" i="8"/>
  <c r="I273" i="8" s="1"/>
  <c r="I192" i="8"/>
  <c r="E224" i="8"/>
  <c r="I257" i="8"/>
  <c r="I253" i="8"/>
  <c r="E244" i="8"/>
  <c r="I244" i="8" s="1"/>
  <c r="I342" i="8"/>
  <c r="F423" i="8"/>
  <c r="E417" i="8"/>
  <c r="I417" i="8" s="1"/>
  <c r="I479" i="8"/>
  <c r="I87" i="8"/>
  <c r="E30" i="8"/>
  <c r="F30" i="8" s="1"/>
  <c r="F93" i="8"/>
  <c r="I164" i="8"/>
  <c r="I483" i="8"/>
  <c r="I439" i="8"/>
  <c r="E316" i="8"/>
  <c r="I316" i="8" s="1"/>
  <c r="E76" i="8"/>
  <c r="F25" i="8"/>
  <c r="F215" i="8"/>
  <c r="I261" i="8"/>
  <c r="E360" i="8"/>
  <c r="I435" i="8"/>
  <c r="F410" i="8"/>
  <c r="I108" i="8"/>
  <c r="I112" i="8"/>
  <c r="E72" i="8"/>
  <c r="I99" i="8"/>
  <c r="F187" i="8"/>
  <c r="I226" i="8"/>
  <c r="I237" i="8"/>
  <c r="F235" i="8"/>
  <c r="E312" i="8"/>
  <c r="F312" i="8" s="1"/>
  <c r="I398" i="8"/>
  <c r="I290" i="8"/>
  <c r="I441" i="8"/>
  <c r="F491" i="8"/>
  <c r="F38" i="8"/>
  <c r="I70" i="8"/>
  <c r="F112" i="8"/>
  <c r="E106" i="8"/>
  <c r="F106" i="8" s="1"/>
  <c r="E176" i="8"/>
  <c r="F183" i="8"/>
  <c r="F310" i="8"/>
  <c r="F153" i="8"/>
  <c r="F220" i="8"/>
  <c r="I266" i="8"/>
  <c r="F417" i="8"/>
  <c r="F358" i="8"/>
  <c r="F333" i="8"/>
  <c r="F290" i="8"/>
  <c r="I321" i="8"/>
  <c r="E460" i="8"/>
  <c r="E476" i="8"/>
  <c r="F476" i="8" s="1"/>
  <c r="E492" i="8"/>
  <c r="F492" i="8" s="1"/>
  <c r="I467" i="8"/>
  <c r="F352" i="8"/>
  <c r="I478" i="8"/>
  <c r="F42" i="8"/>
  <c r="I61" i="8"/>
  <c r="F26" i="8"/>
  <c r="I172" i="8"/>
  <c r="I358" i="8"/>
  <c r="F411" i="8"/>
  <c r="E27" i="8"/>
  <c r="F43" i="8"/>
  <c r="I67" i="8"/>
  <c r="F37" i="8"/>
  <c r="F22" i="8"/>
  <c r="F125" i="8"/>
  <c r="I56" i="8"/>
  <c r="F126" i="8"/>
  <c r="F222" i="8"/>
  <c r="F300" i="8"/>
  <c r="E302" i="8"/>
  <c r="F302" i="8" s="1"/>
  <c r="F279" i="8"/>
  <c r="F353" i="8"/>
  <c r="E409" i="8"/>
  <c r="F409" i="8" s="1"/>
  <c r="E464" i="8"/>
  <c r="I464" i="8" s="1"/>
  <c r="E480" i="8"/>
  <c r="E496" i="8"/>
  <c r="F348" i="8"/>
  <c r="E344" i="8"/>
  <c r="F344" i="8" s="1"/>
  <c r="E466" i="8"/>
  <c r="F466" i="8" s="1"/>
  <c r="E274" i="8"/>
  <c r="F334" i="8"/>
  <c r="I230" i="8"/>
  <c r="F230" i="8"/>
  <c r="I320" i="8"/>
  <c r="F320" i="8"/>
  <c r="F174" i="8"/>
  <c r="I174" i="8"/>
  <c r="F178" i="8"/>
  <c r="I178" i="8"/>
  <c r="F291" i="8"/>
  <c r="I291" i="8"/>
  <c r="F258" i="8"/>
  <c r="I258" i="8"/>
  <c r="F190" i="8"/>
  <c r="I190" i="8"/>
  <c r="F293" i="8"/>
  <c r="I293" i="8"/>
  <c r="F385" i="8"/>
  <c r="I385" i="8"/>
  <c r="F322" i="8"/>
  <c r="I322" i="8"/>
  <c r="F313" i="8"/>
  <c r="I313" i="8"/>
  <c r="F405" i="8"/>
  <c r="I405" i="8"/>
  <c r="F438" i="8"/>
  <c r="I438" i="8"/>
  <c r="I458" i="8"/>
  <c r="F458" i="8"/>
  <c r="F421" i="8"/>
  <c r="I421" i="8"/>
  <c r="I397" i="8"/>
  <c r="F397" i="8"/>
  <c r="F146" i="8"/>
  <c r="I146" i="8"/>
  <c r="F182" i="8"/>
  <c r="I182" i="8"/>
  <c r="I214" i="8"/>
  <c r="F214" i="8"/>
  <c r="F286" i="8"/>
  <c r="I286" i="8"/>
  <c r="F198" i="8"/>
  <c r="I198" i="8"/>
  <c r="I309" i="8"/>
  <c r="F309" i="8"/>
  <c r="F389" i="8"/>
  <c r="I389" i="8"/>
  <c r="F208" i="8"/>
  <c r="I208" i="8"/>
  <c r="F388" i="8"/>
  <c r="I388" i="8"/>
  <c r="F85" i="8"/>
  <c r="I85" i="8"/>
  <c r="I62" i="8"/>
  <c r="F62" i="8"/>
  <c r="F130" i="8"/>
  <c r="I130" i="8"/>
  <c r="I142" i="8"/>
  <c r="F142" i="8"/>
  <c r="I160" i="8"/>
  <c r="F160" i="8"/>
  <c r="F193" i="8"/>
  <c r="I193" i="8"/>
  <c r="F341" i="8"/>
  <c r="I341" i="8"/>
  <c r="I393" i="8"/>
  <c r="F393" i="8"/>
  <c r="F460" i="8"/>
  <c r="F165" i="8"/>
  <c r="I165" i="8"/>
  <c r="F89" i="8"/>
  <c r="I89" i="8"/>
  <c r="F422" i="8"/>
  <c r="I422" i="8"/>
  <c r="I34" i="8"/>
  <c r="I138" i="8"/>
  <c r="F138" i="8"/>
  <c r="F118" i="8"/>
  <c r="I118" i="8"/>
  <c r="I128" i="8"/>
  <c r="I305" i="8"/>
  <c r="F305" i="8"/>
  <c r="I484" i="8"/>
  <c r="F484" i="8"/>
  <c r="I450" i="8"/>
  <c r="F450" i="8"/>
  <c r="F152" i="8"/>
  <c r="I152" i="8"/>
  <c r="F314" i="8"/>
  <c r="I314" i="8"/>
  <c r="F392" i="8"/>
  <c r="I392" i="8"/>
  <c r="F431" i="8"/>
  <c r="I431" i="8"/>
  <c r="F440" i="8"/>
  <c r="I440" i="8"/>
  <c r="F77" i="8"/>
  <c r="I77" i="8"/>
  <c r="I295" i="8"/>
  <c r="F295" i="8"/>
  <c r="F149" i="8"/>
  <c r="I149" i="8"/>
  <c r="I381" i="8"/>
  <c r="F381" i="8"/>
  <c r="F74" i="8"/>
  <c r="I74" i="8"/>
  <c r="I272" i="8"/>
  <c r="F272" i="8"/>
  <c r="I328" i="8"/>
  <c r="F328" i="8"/>
  <c r="I428" i="8"/>
  <c r="F428" i="8"/>
  <c r="F360" i="8"/>
  <c r="I360" i="8"/>
  <c r="I496" i="8"/>
  <c r="F480" i="8"/>
  <c r="I434" i="8"/>
  <c r="F434" i="8"/>
  <c r="F442" i="8"/>
  <c r="I442" i="8"/>
  <c r="F202" i="8"/>
  <c r="I202" i="8"/>
  <c r="F255" i="8"/>
  <c r="F234" i="8"/>
  <c r="E403" i="8"/>
  <c r="I403" i="8" s="1"/>
  <c r="I318" i="8"/>
  <c r="I337" i="8"/>
  <c r="F349" i="8"/>
  <c r="F365" i="8"/>
  <c r="F336" i="8"/>
  <c r="E473" i="8"/>
  <c r="F473" i="8" s="1"/>
  <c r="F448" i="8"/>
  <c r="I492" i="8"/>
  <c r="I480" i="8"/>
  <c r="E24" i="8"/>
  <c r="I24" i="8" s="1"/>
  <c r="E94" i="8"/>
  <c r="I94" i="8" s="1"/>
  <c r="E104" i="8"/>
  <c r="F104" i="8" s="1"/>
  <c r="I121" i="8"/>
  <c r="F60" i="8"/>
  <c r="F134" i="8"/>
  <c r="F144" i="8"/>
  <c r="I97" i="8"/>
  <c r="I163" i="8"/>
  <c r="I132" i="8"/>
  <c r="F263" i="8"/>
  <c r="I271" i="8"/>
  <c r="F228" i="8"/>
  <c r="F283" i="8"/>
  <c r="F191" i="8"/>
  <c r="I218" i="8"/>
  <c r="E252" i="8"/>
  <c r="F252" i="8" s="1"/>
  <c r="F324" i="8"/>
  <c r="I324" i="8"/>
  <c r="I28" i="8"/>
  <c r="F28" i="8"/>
  <c r="E28" i="8"/>
  <c r="E64" i="8"/>
  <c r="F64" i="8" s="1"/>
  <c r="E111" i="8"/>
  <c r="F111" i="8" s="1"/>
  <c r="F69" i="8"/>
  <c r="F70" i="8"/>
  <c r="J19" i="8"/>
  <c r="J23" i="8"/>
  <c r="J27" i="8"/>
  <c r="J31" i="8"/>
  <c r="J35" i="8"/>
  <c r="J39" i="8"/>
  <c r="J43" i="8"/>
  <c r="J47" i="8"/>
  <c r="J51" i="8"/>
  <c r="J55" i="8"/>
  <c r="J20" i="8"/>
  <c r="J24" i="8"/>
  <c r="J28" i="8"/>
  <c r="J32" i="8"/>
  <c r="J36" i="8"/>
  <c r="J40" i="8"/>
  <c r="J44" i="8"/>
  <c r="J48" i="8"/>
  <c r="J52" i="8"/>
  <c r="J56" i="8"/>
  <c r="J21" i="8"/>
  <c r="J25" i="8"/>
  <c r="J29" i="8"/>
  <c r="J33" i="8"/>
  <c r="J37" i="8"/>
  <c r="J41" i="8"/>
  <c r="J45" i="8"/>
  <c r="J49" i="8"/>
  <c r="J53" i="8"/>
  <c r="J57" i="8"/>
  <c r="J61" i="8"/>
  <c r="J65" i="8"/>
  <c r="J69" i="8"/>
  <c r="J73" i="8"/>
  <c r="J77" i="8"/>
  <c r="J81" i="8"/>
  <c r="J85" i="8"/>
  <c r="J18" i="8"/>
  <c r="J22" i="8"/>
  <c r="J26" i="8"/>
  <c r="J34" i="8"/>
  <c r="J74" i="8"/>
  <c r="J84" i="8"/>
  <c r="J89" i="8"/>
  <c r="J93" i="8"/>
  <c r="J97" i="8"/>
  <c r="J101" i="8"/>
  <c r="J105" i="8"/>
  <c r="J109" i="8"/>
  <c r="J113" i="8"/>
  <c r="J75" i="8"/>
  <c r="J38" i="8"/>
  <c r="J50" i="8"/>
  <c r="J62" i="8"/>
  <c r="J63" i="8"/>
  <c r="J64" i="8"/>
  <c r="J66" i="8"/>
  <c r="J76" i="8"/>
  <c r="J86" i="8"/>
  <c r="J90" i="8"/>
  <c r="J94" i="8"/>
  <c r="J98" i="8"/>
  <c r="J102" i="8"/>
  <c r="J106" i="8"/>
  <c r="J110" i="8"/>
  <c r="J114" i="8"/>
  <c r="J118" i="8"/>
  <c r="J122" i="8"/>
  <c r="J126" i="8"/>
  <c r="J60" i="8"/>
  <c r="J67" i="8"/>
  <c r="J78" i="8"/>
  <c r="J42" i="8"/>
  <c r="J58" i="8"/>
  <c r="J59" i="8"/>
  <c r="J68" i="8"/>
  <c r="J79" i="8"/>
  <c r="J87" i="8"/>
  <c r="J91" i="8"/>
  <c r="J95" i="8"/>
  <c r="J99" i="8"/>
  <c r="J103" i="8"/>
  <c r="J107" i="8"/>
  <c r="J111" i="8"/>
  <c r="J115" i="8"/>
  <c r="J119" i="8"/>
  <c r="J123" i="8"/>
  <c r="J30" i="8"/>
  <c r="J46" i="8"/>
  <c r="J54" i="8"/>
  <c r="J71" i="8"/>
  <c r="J82" i="8"/>
  <c r="J88" i="8"/>
  <c r="J92" i="8"/>
  <c r="J104" i="8"/>
  <c r="J128" i="8"/>
  <c r="J132" i="8"/>
  <c r="J136" i="8"/>
  <c r="J140" i="8"/>
  <c r="J144" i="8"/>
  <c r="J148" i="8"/>
  <c r="J152" i="8"/>
  <c r="J156" i="8"/>
  <c r="J160" i="8"/>
  <c r="J164" i="8"/>
  <c r="J168" i="8"/>
  <c r="J80" i="8"/>
  <c r="J100" i="8"/>
  <c r="J108" i="8"/>
  <c r="J83" i="8"/>
  <c r="J112" i="8"/>
  <c r="J129" i="8"/>
  <c r="J133" i="8"/>
  <c r="J137" i="8"/>
  <c r="J124" i="8"/>
  <c r="J72" i="8"/>
  <c r="J120" i="8"/>
  <c r="J121" i="8"/>
  <c r="J125" i="8"/>
  <c r="J130" i="8"/>
  <c r="J134" i="8"/>
  <c r="J138" i="8"/>
  <c r="J142" i="8"/>
  <c r="J70" i="8"/>
  <c r="J96" i="8"/>
  <c r="J157" i="8"/>
  <c r="J167" i="8"/>
  <c r="J135" i="8"/>
  <c r="J141" i="8"/>
  <c r="J158" i="8"/>
  <c r="J169" i="8"/>
  <c r="J173" i="8"/>
  <c r="J177" i="8"/>
  <c r="J181" i="8"/>
  <c r="J185" i="8"/>
  <c r="J189" i="8"/>
  <c r="J193" i="8"/>
  <c r="J197" i="8"/>
  <c r="J201" i="8"/>
  <c r="J205" i="8"/>
  <c r="J209" i="8"/>
  <c r="J145" i="8"/>
  <c r="J146" i="8"/>
  <c r="J147" i="8"/>
  <c r="J149" i="8"/>
  <c r="J159" i="8"/>
  <c r="J150" i="8"/>
  <c r="J161" i="8"/>
  <c r="J170" i="8"/>
  <c r="J174" i="8"/>
  <c r="J178" i="8"/>
  <c r="J182" i="8"/>
  <c r="J116" i="8"/>
  <c r="J127" i="8"/>
  <c r="J151" i="8"/>
  <c r="J162" i="8"/>
  <c r="J117" i="8"/>
  <c r="J131" i="8"/>
  <c r="J154" i="8"/>
  <c r="J180" i="8"/>
  <c r="J202" i="8"/>
  <c r="J139" i="8"/>
  <c r="J153" i="8"/>
  <c r="J172" i="8"/>
  <c r="J184" i="8"/>
  <c r="J203" i="8"/>
  <c r="J212" i="8"/>
  <c r="J216" i="8"/>
  <c r="J220" i="8"/>
  <c r="J224" i="8"/>
  <c r="J228" i="8"/>
  <c r="J232" i="8"/>
  <c r="J236" i="8"/>
  <c r="J240" i="8"/>
  <c r="J244" i="8"/>
  <c r="J248" i="8"/>
  <c r="J252" i="8"/>
  <c r="J256" i="8"/>
  <c r="J260" i="8"/>
  <c r="J264" i="8"/>
  <c r="J268" i="8"/>
  <c r="J272" i="8"/>
  <c r="J276" i="8"/>
  <c r="J280" i="8"/>
  <c r="J284" i="8"/>
  <c r="J288" i="8"/>
  <c r="J292" i="8"/>
  <c r="J296" i="8"/>
  <c r="J300" i="8"/>
  <c r="J143" i="8"/>
  <c r="J165" i="8"/>
  <c r="J175" i="8"/>
  <c r="J179" i="8"/>
  <c r="J204" i="8"/>
  <c r="J163" i="8"/>
  <c r="J183" i="8"/>
  <c r="J194" i="8"/>
  <c r="J195" i="8"/>
  <c r="J206" i="8"/>
  <c r="J213" i="8"/>
  <c r="J217" i="8"/>
  <c r="J221" i="8"/>
  <c r="J225" i="8"/>
  <c r="J229" i="8"/>
  <c r="J233" i="8"/>
  <c r="J237" i="8"/>
  <c r="J241" i="8"/>
  <c r="J245" i="8"/>
  <c r="J249" i="8"/>
  <c r="J253" i="8"/>
  <c r="J257" i="8"/>
  <c r="J261" i="8"/>
  <c r="J265" i="8"/>
  <c r="J171" i="8"/>
  <c r="J190" i="8"/>
  <c r="J191" i="8"/>
  <c r="J192" i="8"/>
  <c r="J196" i="8"/>
  <c r="J207" i="8"/>
  <c r="J166" i="8"/>
  <c r="J199" i="8"/>
  <c r="J210" i="8"/>
  <c r="J198" i="8"/>
  <c r="J208" i="8"/>
  <c r="J218" i="8"/>
  <c r="J227" i="8"/>
  <c r="J250" i="8"/>
  <c r="J273" i="8"/>
  <c r="J283" i="8"/>
  <c r="J294" i="8"/>
  <c r="J176" i="8"/>
  <c r="J200" i="8"/>
  <c r="J238" i="8"/>
  <c r="J247" i="8"/>
  <c r="J267" i="8"/>
  <c r="J274" i="8"/>
  <c r="J285" i="8"/>
  <c r="J295" i="8"/>
  <c r="J304" i="8"/>
  <c r="J308" i="8"/>
  <c r="J312" i="8"/>
  <c r="J187" i="8"/>
  <c r="J215" i="8"/>
  <c r="J226" i="8"/>
  <c r="J235" i="8"/>
  <c r="J266" i="8"/>
  <c r="J275" i="8"/>
  <c r="J155" i="8"/>
  <c r="J186" i="8"/>
  <c r="J223" i="8"/>
  <c r="J246" i="8"/>
  <c r="J277" i="8"/>
  <c r="J287" i="8"/>
  <c r="J298" i="8"/>
  <c r="J305" i="8"/>
  <c r="J309" i="8"/>
  <c r="J313" i="8"/>
  <c r="J317" i="8"/>
  <c r="J321" i="8"/>
  <c r="J214" i="8"/>
  <c r="J234" i="8"/>
  <c r="J243" i="8"/>
  <c r="J259" i="8"/>
  <c r="J278" i="8"/>
  <c r="J289" i="8"/>
  <c r="J299" i="8"/>
  <c r="J211" i="8"/>
  <c r="J219" i="8"/>
  <c r="J242" i="8"/>
  <c r="J251" i="8"/>
  <c r="J258" i="8"/>
  <c r="J263" i="8"/>
  <c r="J281" i="8"/>
  <c r="J291" i="8"/>
  <c r="J293" i="8"/>
  <c r="J301" i="8"/>
  <c r="J319" i="8"/>
  <c r="J270" i="8"/>
  <c r="J297" i="8"/>
  <c r="J320" i="8"/>
  <c r="J327" i="8"/>
  <c r="J331" i="8"/>
  <c r="J335" i="8"/>
  <c r="J339" i="8"/>
  <c r="J343" i="8"/>
  <c r="J347" i="8"/>
  <c r="J351" i="8"/>
  <c r="J355" i="8"/>
  <c r="J359" i="8"/>
  <c r="J363" i="8"/>
  <c r="J367" i="8"/>
  <c r="J371" i="8"/>
  <c r="J375" i="8"/>
  <c r="J188" i="8"/>
  <c r="J255" i="8"/>
  <c r="J323" i="8"/>
  <c r="J328" i="8"/>
  <c r="J332" i="8"/>
  <c r="J336" i="8"/>
  <c r="J340" i="8"/>
  <c r="J344" i="8"/>
  <c r="J348" i="8"/>
  <c r="J352" i="8"/>
  <c r="J356" i="8"/>
  <c r="J360" i="8"/>
  <c r="J364" i="8"/>
  <c r="J368" i="8"/>
  <c r="J372" i="8"/>
  <c r="J376" i="8"/>
  <c r="J380" i="8"/>
  <c r="J384" i="8"/>
  <c r="J388" i="8"/>
  <c r="J392" i="8"/>
  <c r="J396" i="8"/>
  <c r="J400" i="8"/>
  <c r="J404" i="8"/>
  <c r="J408" i="8"/>
  <c r="J412" i="8"/>
  <c r="J416" i="8"/>
  <c r="J420" i="8"/>
  <c r="J424" i="8"/>
  <c r="J428" i="8"/>
  <c r="J432" i="8"/>
  <c r="J436" i="8"/>
  <c r="J239" i="8"/>
  <c r="J279" i="8"/>
  <c r="J307" i="8"/>
  <c r="J314" i="8"/>
  <c r="J324" i="8"/>
  <c r="J231" i="8"/>
  <c r="J254" i="8"/>
  <c r="J269" i="8"/>
  <c r="J271" i="8"/>
  <c r="J282" i="8"/>
  <c r="J290" i="8"/>
  <c r="J302" i="8"/>
  <c r="J306" i="8"/>
  <c r="J311" i="8"/>
  <c r="J316" i="8"/>
  <c r="J385" i="8"/>
  <c r="J386" i="8"/>
  <c r="J397" i="8"/>
  <c r="J398" i="8"/>
  <c r="J399" i="8"/>
  <c r="J413" i="8"/>
  <c r="J230" i="8"/>
  <c r="J329" i="8"/>
  <c r="J330" i="8"/>
  <c r="J341" i="8"/>
  <c r="J342" i="8"/>
  <c r="J345" i="8"/>
  <c r="J346" i="8"/>
  <c r="J349" i="8"/>
  <c r="J350" i="8"/>
  <c r="J353" i="8"/>
  <c r="J354" i="8"/>
  <c r="J357" i="8"/>
  <c r="J358" i="8"/>
  <c r="J361" i="8"/>
  <c r="J362" i="8"/>
  <c r="J365" i="8"/>
  <c r="J366" i="8"/>
  <c r="J369" i="8"/>
  <c r="J370" i="8"/>
  <c r="J373" i="8"/>
  <c r="J374" i="8"/>
  <c r="J377" i="8"/>
  <c r="J378" i="8"/>
  <c r="J393" i="8"/>
  <c r="J394" i="8"/>
  <c r="J395" i="8"/>
  <c r="J414" i="8"/>
  <c r="J425" i="8"/>
  <c r="J435" i="8"/>
  <c r="J415" i="8"/>
  <c r="J426" i="8"/>
  <c r="J222" i="8"/>
  <c r="J262" i="8"/>
  <c r="J325" i="8"/>
  <c r="J326" i="8"/>
  <c r="J383" i="8"/>
  <c r="J391" i="8"/>
  <c r="J417" i="8"/>
  <c r="J286" i="8"/>
  <c r="J322" i="8"/>
  <c r="J337" i="8"/>
  <c r="J338" i="8"/>
  <c r="J381" i="8"/>
  <c r="J382" i="8"/>
  <c r="J389" i="8"/>
  <c r="J390" i="8"/>
  <c r="J418" i="8"/>
  <c r="J303" i="8"/>
  <c r="J318" i="8"/>
  <c r="J409" i="8"/>
  <c r="J419" i="8"/>
  <c r="J430" i="8"/>
  <c r="J403" i="8"/>
  <c r="J410" i="8"/>
  <c r="J423" i="8"/>
  <c r="J427" i="8"/>
  <c r="J431" i="8"/>
  <c r="J446" i="8"/>
  <c r="J454" i="8"/>
  <c r="J460" i="8"/>
  <c r="J464" i="8"/>
  <c r="J468" i="8"/>
  <c r="J472" i="8"/>
  <c r="J476" i="8"/>
  <c r="J480" i="8"/>
  <c r="J484" i="8"/>
  <c r="J488" i="8"/>
  <c r="J492" i="8"/>
  <c r="J496" i="8"/>
  <c r="J310" i="8"/>
  <c r="J421" i="8"/>
  <c r="J434" i="8"/>
  <c r="J447" i="8"/>
  <c r="J455" i="8"/>
  <c r="J461" i="8"/>
  <c r="J465" i="8"/>
  <c r="J477" i="8"/>
  <c r="J493" i="8"/>
  <c r="J497" i="8"/>
  <c r="J439" i="8"/>
  <c r="J443" i="8"/>
  <c r="J451" i="8"/>
  <c r="J448" i="8"/>
  <c r="J456" i="8"/>
  <c r="J469" i="8"/>
  <c r="J473" i="8"/>
  <c r="J481" i="8"/>
  <c r="J485" i="8"/>
  <c r="J489" i="8"/>
  <c r="J442" i="8"/>
  <c r="J379" i="8"/>
  <c r="J411" i="8"/>
  <c r="J429" i="8"/>
  <c r="J433" i="8"/>
  <c r="J449" i="8"/>
  <c r="J457" i="8"/>
  <c r="J437" i="8"/>
  <c r="J441" i="8"/>
  <c r="J387" i="8"/>
  <c r="J405" i="8"/>
  <c r="J406" i="8"/>
  <c r="J422" i="8"/>
  <c r="J450" i="8"/>
  <c r="J458" i="8"/>
  <c r="J462" i="8"/>
  <c r="J466" i="8"/>
  <c r="J470" i="8"/>
  <c r="J474" i="8"/>
  <c r="J478" i="8"/>
  <c r="J482" i="8"/>
  <c r="J486" i="8"/>
  <c r="J490" i="8"/>
  <c r="J494" i="8"/>
  <c r="J402" i="8"/>
  <c r="J438" i="8"/>
  <c r="J440" i="8"/>
  <c r="J315" i="8"/>
  <c r="J401" i="8"/>
  <c r="J407" i="8"/>
  <c r="J444" i="8"/>
  <c r="J452" i="8"/>
  <c r="J459" i="8"/>
  <c r="J463" i="8"/>
  <c r="J467" i="8"/>
  <c r="J471" i="8"/>
  <c r="J475" i="8"/>
  <c r="J479" i="8"/>
  <c r="J483" i="8"/>
  <c r="J487" i="8"/>
  <c r="J491" i="8"/>
  <c r="J495" i="8"/>
  <c r="J333" i="8"/>
  <c r="J334" i="8"/>
  <c r="J445" i="8"/>
  <c r="J453" i="8"/>
  <c r="I122" i="8"/>
  <c r="E122" i="8"/>
  <c r="F122" i="8" s="1"/>
  <c r="I119" i="8"/>
  <c r="I80" i="8"/>
  <c r="E136" i="8"/>
  <c r="F136" i="8" s="1"/>
  <c r="I136" i="8"/>
  <c r="I181" i="8"/>
  <c r="I170" i="8"/>
  <c r="I166" i="8"/>
  <c r="F239" i="8"/>
  <c r="I176" i="8"/>
  <c r="F196" i="8"/>
  <c r="I196" i="8"/>
  <c r="E155" i="8"/>
  <c r="F155" i="8" s="1"/>
  <c r="I197" i="8"/>
  <c r="E211" i="8"/>
  <c r="I211" i="8" s="1"/>
  <c r="I224" i="8"/>
  <c r="F224" i="8"/>
  <c r="F250" i="8"/>
  <c r="E285" i="8"/>
  <c r="F285" i="8" s="1"/>
  <c r="I241" i="8"/>
  <c r="E282" i="8"/>
  <c r="I282" i="8" s="1"/>
  <c r="I335" i="8"/>
  <c r="F335" i="8"/>
  <c r="E331" i="8"/>
  <c r="I331" i="8" s="1"/>
  <c r="E264" i="8"/>
  <c r="F264" i="8" s="1"/>
  <c r="I238" i="8"/>
  <c r="F325" i="8"/>
  <c r="E404" i="8"/>
  <c r="I404" i="8" s="1"/>
  <c r="I384" i="8"/>
  <c r="F347" i="8"/>
  <c r="I347" i="8"/>
  <c r="F367" i="8"/>
  <c r="I367" i="8"/>
  <c r="I420" i="8"/>
  <c r="E356" i="8"/>
  <c r="F356" i="8" s="1"/>
  <c r="F495" i="8"/>
  <c r="F471" i="8"/>
  <c r="I344" i="8"/>
  <c r="E372" i="8"/>
  <c r="F372" i="8" s="1"/>
  <c r="I451" i="8"/>
  <c r="E485" i="8"/>
  <c r="I485" i="8" s="1"/>
  <c r="F496" i="8"/>
  <c r="E368" i="8"/>
  <c r="F368" i="8" s="1"/>
  <c r="I460" i="8"/>
  <c r="F210" i="8"/>
  <c r="I210" i="8"/>
  <c r="E270" i="8"/>
  <c r="I270" i="8" s="1"/>
  <c r="E254" i="8"/>
  <c r="E307" i="8"/>
  <c r="F307" i="8" s="1"/>
  <c r="F355" i="8"/>
  <c r="I355" i="8"/>
  <c r="I465" i="8"/>
  <c r="E465" i="8"/>
  <c r="I45" i="8"/>
  <c r="I22" i="8"/>
  <c r="F83" i="8"/>
  <c r="E114" i="8"/>
  <c r="F114" i="8" s="1"/>
  <c r="F107" i="8"/>
  <c r="F119" i="8"/>
  <c r="I131" i="8"/>
  <c r="I106" i="8"/>
  <c r="I129" i="8"/>
  <c r="F97" i="8"/>
  <c r="I135" i="8"/>
  <c r="F167" i="8"/>
  <c r="E101" i="8"/>
  <c r="I101" i="8" s="1"/>
  <c r="I141" i="8"/>
  <c r="F163" i="8"/>
  <c r="I127" i="8"/>
  <c r="E210" i="8"/>
  <c r="F243" i="8"/>
  <c r="F184" i="8"/>
  <c r="F132" i="8"/>
  <c r="F240" i="8"/>
  <c r="I240" i="8"/>
  <c r="I219" i="8"/>
  <c r="F236" i="8"/>
  <c r="I236" i="8"/>
  <c r="E284" i="8"/>
  <c r="I284" i="8" s="1"/>
  <c r="F284" i="8"/>
  <c r="I223" i="8"/>
  <c r="F246" i="8"/>
  <c r="F340" i="8"/>
  <c r="I340" i="8"/>
  <c r="F375" i="8"/>
  <c r="I375" i="8"/>
  <c r="F404" i="8"/>
  <c r="F297" i="8"/>
  <c r="I357" i="8"/>
  <c r="I373" i="8"/>
  <c r="E376" i="8"/>
  <c r="I376" i="8" s="1"/>
  <c r="E477" i="8"/>
  <c r="F477" i="8" s="1"/>
  <c r="I407" i="8"/>
  <c r="I463" i="8"/>
  <c r="E433" i="8"/>
  <c r="F433" i="8" s="1"/>
  <c r="I482" i="8"/>
  <c r="F199" i="8"/>
  <c r="I263" i="8"/>
  <c r="I339" i="8"/>
  <c r="F339" i="8"/>
  <c r="F380" i="8"/>
  <c r="E412" i="8"/>
  <c r="I412" i="8" s="1"/>
  <c r="F430" i="8"/>
  <c r="F451" i="8"/>
  <c r="E497" i="8"/>
  <c r="I497" i="8" s="1"/>
  <c r="I36" i="8"/>
  <c r="E36" i="8"/>
  <c r="F36" i="8" s="1"/>
  <c r="E40" i="8"/>
  <c r="I40" i="8" s="1"/>
  <c r="F40" i="8"/>
  <c r="I42" i="8"/>
  <c r="E54" i="8"/>
  <c r="F54" i="8" s="1"/>
  <c r="I54" i="8"/>
  <c r="F81" i="8"/>
  <c r="I75" i="8"/>
  <c r="E75" i="8"/>
  <c r="F75" i="8" s="1"/>
  <c r="F86" i="8"/>
  <c r="E86" i="8"/>
  <c r="I86" i="8" s="1"/>
  <c r="E102" i="8"/>
  <c r="I102" i="8" s="1"/>
  <c r="I41" i="8"/>
  <c r="I53" i="8"/>
  <c r="I72" i="8"/>
  <c r="E96" i="8"/>
  <c r="I96" i="8" s="1"/>
  <c r="E34" i="8"/>
  <c r="F34" i="8" s="1"/>
  <c r="I88" i="8"/>
  <c r="E18" i="8"/>
  <c r="I18" i="8" s="1"/>
  <c r="E60" i="8"/>
  <c r="I60" i="8" s="1"/>
  <c r="E156" i="8"/>
  <c r="F156" i="8" s="1"/>
  <c r="F157" i="8"/>
  <c r="I157" i="8"/>
  <c r="I186" i="8"/>
  <c r="E199" i="8"/>
  <c r="I199" i="8" s="1"/>
  <c r="F166" i="8"/>
  <c r="I229" i="8"/>
  <c r="F242" i="8"/>
  <c r="E262" i="8"/>
  <c r="F262" i="8" s="1"/>
  <c r="E294" i="8"/>
  <c r="F294" i="8" s="1"/>
  <c r="I254" i="8"/>
  <c r="F289" i="8"/>
  <c r="E260" i="8"/>
  <c r="F260" i="8" s="1"/>
  <c r="F244" i="8"/>
  <c r="F248" i="8"/>
  <c r="F308" i="8"/>
  <c r="I308" i="8"/>
  <c r="E292" i="8"/>
  <c r="I292" i="8" s="1"/>
  <c r="E399" i="8"/>
  <c r="I399" i="8" s="1"/>
  <c r="F363" i="8"/>
  <c r="I363" i="8"/>
  <c r="I413" i="8"/>
  <c r="E315" i="8"/>
  <c r="I315" i="8" s="1"/>
  <c r="I200" i="8"/>
  <c r="E437" i="8"/>
  <c r="I437" i="8" s="1"/>
  <c r="F454" i="8"/>
  <c r="I454" i="8"/>
  <c r="E468" i="8"/>
  <c r="I468" i="8" s="1"/>
  <c r="E427" i="8"/>
  <c r="I427" i="8" s="1"/>
  <c r="I455" i="8"/>
  <c r="F455" i="8"/>
  <c r="E489" i="8"/>
  <c r="F489" i="8" s="1"/>
  <c r="F494" i="8"/>
  <c r="I494" i="8"/>
  <c r="E494" i="8"/>
  <c r="F364" i="8"/>
  <c r="E50" i="8"/>
  <c r="I50" i="8" s="1"/>
  <c r="I104" i="8"/>
  <c r="I184" i="8"/>
  <c r="F254" i="8"/>
  <c r="F387" i="8"/>
  <c r="I387" i="8"/>
  <c r="F343" i="8"/>
  <c r="I343" i="8"/>
  <c r="F351" i="8"/>
  <c r="I351" i="8"/>
  <c r="F412" i="8"/>
  <c r="F391" i="8"/>
  <c r="I345" i="8"/>
  <c r="I361" i="8"/>
  <c r="I377" i="8"/>
  <c r="I411" i="8"/>
  <c r="I476" i="8"/>
  <c r="I459" i="8"/>
  <c r="I469" i="8"/>
  <c r="E469" i="8"/>
  <c r="F469" i="8" s="1"/>
  <c r="F407" i="8"/>
  <c r="E98" i="8"/>
  <c r="I98" i="8" s="1"/>
  <c r="E44" i="8"/>
  <c r="I44" i="8" s="1"/>
  <c r="F44" i="8"/>
  <c r="I83" i="8"/>
  <c r="I252" i="8"/>
  <c r="I303" i="8"/>
  <c r="E303" i="8"/>
  <c r="F303" i="8" s="1"/>
  <c r="E48" i="8"/>
  <c r="I48" i="8" s="1"/>
  <c r="I64" i="8"/>
  <c r="I33" i="8"/>
  <c r="E71" i="8"/>
  <c r="F71" i="8" s="1"/>
  <c r="I30" i="8"/>
  <c r="E90" i="8"/>
  <c r="I90" i="8" s="1"/>
  <c r="E110" i="8"/>
  <c r="F110" i="8" s="1"/>
  <c r="I110" i="8"/>
  <c r="E120" i="8"/>
  <c r="I120" i="8" s="1"/>
  <c r="F72" i="8"/>
  <c r="F109" i="8"/>
  <c r="F100" i="8"/>
  <c r="F65" i="8"/>
  <c r="I137" i="8"/>
  <c r="I154" i="8"/>
  <c r="I173" i="8"/>
  <c r="F173" i="8"/>
  <c r="E157" i="8"/>
  <c r="F176" i="8"/>
  <c r="I180" i="8"/>
  <c r="E212" i="8"/>
  <c r="I212" i="8" s="1"/>
  <c r="I188" i="8"/>
  <c r="E206" i="8"/>
  <c r="I206" i="8" s="1"/>
  <c r="F270" i="8"/>
  <c r="I249" i="8"/>
  <c r="E281" i="8"/>
  <c r="F281" i="8" s="1"/>
  <c r="I268" i="8"/>
  <c r="I227" i="8"/>
  <c r="I245" i="8"/>
  <c r="E256" i="8"/>
  <c r="F256" i="8" s="1"/>
  <c r="I311" i="8"/>
  <c r="I276" i="8"/>
  <c r="I304" i="8"/>
  <c r="F304" i="8"/>
  <c r="E319" i="8"/>
  <c r="F319" i="8" s="1"/>
  <c r="F371" i="8"/>
  <c r="I371" i="8"/>
  <c r="I391" i="8"/>
  <c r="I401" i="8"/>
  <c r="E413" i="8"/>
  <c r="F413" i="8" s="1"/>
  <c r="F200" i="8"/>
  <c r="E416" i="8"/>
  <c r="I416" i="8" s="1"/>
  <c r="F396" i="8"/>
  <c r="E472" i="8"/>
  <c r="I472" i="8" s="1"/>
  <c r="E488" i="8"/>
  <c r="F488" i="8" s="1"/>
  <c r="E446" i="8"/>
  <c r="F446" i="8" s="1"/>
  <c r="E481" i="8"/>
  <c r="F481" i="8" s="1"/>
  <c r="E317" i="8"/>
  <c r="F317" i="8" s="1"/>
  <c r="F456" i="8"/>
  <c r="F465" i="8"/>
  <c r="I490" i="8"/>
  <c r="E32" i="8"/>
  <c r="I32" i="8" s="1"/>
  <c r="I81" i="8"/>
  <c r="F185" i="8"/>
  <c r="I185" i="8"/>
  <c r="E280" i="8"/>
  <c r="F280" i="8" s="1"/>
  <c r="F282" i="8"/>
  <c r="I20" i="8"/>
  <c r="F20" i="8"/>
  <c r="E20" i="8"/>
  <c r="E52" i="8"/>
  <c r="I52" i="8" s="1"/>
  <c r="F52" i="8"/>
  <c r="I82" i="8"/>
  <c r="E73" i="8"/>
  <c r="F73" i="8"/>
  <c r="I73" i="8"/>
  <c r="E46" i="8"/>
  <c r="F46" i="8" s="1"/>
  <c r="F82" i="8"/>
  <c r="F79" i="8"/>
  <c r="E121" i="8"/>
  <c r="F121" i="8" s="1"/>
  <c r="E105" i="8"/>
  <c r="F105" i="8" s="1"/>
  <c r="I105" i="8"/>
  <c r="E92" i="8"/>
  <c r="F92" i="8" s="1"/>
  <c r="F101" i="8"/>
  <c r="I109" i="8"/>
  <c r="F108" i="8"/>
  <c r="E177" i="8"/>
  <c r="F177" i="8" s="1"/>
  <c r="F154" i="8"/>
  <c r="E201" i="8"/>
  <c r="F201" i="8" s="1"/>
  <c r="F251" i="8"/>
  <c r="E216" i="8"/>
  <c r="F216" i="8" s="1"/>
  <c r="E271" i="8"/>
  <c r="F271" i="8" s="1"/>
  <c r="E228" i="8"/>
  <c r="I228" i="8" s="1"/>
  <c r="I248" i="8"/>
  <c r="E267" i="8"/>
  <c r="F267" i="8" s="1"/>
  <c r="E232" i="8"/>
  <c r="I232" i="8" s="1"/>
  <c r="E296" i="8"/>
  <c r="I296" i="8" s="1"/>
  <c r="I327" i="8"/>
  <c r="F327" i="8"/>
  <c r="E301" i="8"/>
  <c r="I301" i="8" s="1"/>
  <c r="E323" i="8"/>
  <c r="F323" i="8" s="1"/>
  <c r="F359" i="8"/>
  <c r="I359" i="8"/>
  <c r="E379" i="8"/>
  <c r="F379" i="8" s="1"/>
  <c r="E383" i="8"/>
  <c r="F383" i="8" s="1"/>
  <c r="F321" i="8"/>
  <c r="F400" i="8"/>
  <c r="E432" i="8"/>
  <c r="I432" i="8" s="1"/>
  <c r="E395" i="8"/>
  <c r="I395" i="8" s="1"/>
  <c r="I447" i="8"/>
  <c r="F447" i="8"/>
  <c r="E493" i="8"/>
  <c r="F493" i="8" s="1"/>
  <c r="F497" i="8"/>
  <c r="U64" i="1"/>
  <c r="U65" i="1"/>
  <c r="U66" i="1"/>
  <c r="U67" i="1"/>
  <c r="U68" i="1"/>
  <c r="U69" i="1"/>
  <c r="U70" i="1"/>
  <c r="U71" i="1"/>
  <c r="U72" i="1"/>
  <c r="U63" i="1"/>
  <c r="V44" i="1"/>
  <c r="V45" i="1"/>
  <c r="V46" i="1"/>
  <c r="V47" i="1"/>
  <c r="V48" i="1"/>
  <c r="V49" i="1"/>
  <c r="V50" i="1"/>
  <c r="V51" i="1"/>
  <c r="V52" i="1"/>
  <c r="V43" i="1"/>
  <c r="V24" i="1"/>
  <c r="V25" i="1"/>
  <c r="V26" i="1"/>
  <c r="V27" i="1"/>
  <c r="V28" i="1"/>
  <c r="V29" i="1"/>
  <c r="V30" i="1"/>
  <c r="V31" i="1"/>
  <c r="V32" i="1"/>
  <c r="V23" i="1"/>
  <c r="V3" i="1"/>
  <c r="V4" i="1"/>
  <c r="V5" i="1"/>
  <c r="V6" i="1"/>
  <c r="V7" i="1"/>
  <c r="V8" i="1"/>
  <c r="V9" i="1"/>
  <c r="V10" i="1"/>
  <c r="V11" i="1"/>
  <c r="V12" i="1"/>
  <c r="S2" i="7"/>
  <c r="T2" i="7"/>
  <c r="S3" i="7"/>
  <c r="T3" i="7"/>
  <c r="S4" i="7"/>
  <c r="T4" i="7"/>
  <c r="S5" i="7"/>
  <c r="T5" i="7"/>
  <c r="S6" i="7"/>
  <c r="T6" i="7"/>
  <c r="S7" i="7"/>
  <c r="T7" i="7"/>
  <c r="S8" i="7"/>
  <c r="T8" i="7"/>
  <c r="S9" i="7"/>
  <c r="T9" i="7"/>
  <c r="S10" i="7"/>
  <c r="T10" i="7"/>
  <c r="S11" i="7"/>
  <c r="T11" i="7"/>
  <c r="S12" i="7"/>
  <c r="T12" i="7"/>
  <c r="S13" i="7"/>
  <c r="T13" i="7"/>
  <c r="S14" i="7"/>
  <c r="T14" i="7"/>
  <c r="S15" i="7"/>
  <c r="T15" i="7"/>
  <c r="S16" i="7"/>
  <c r="T16" i="7"/>
  <c r="S17" i="7"/>
  <c r="T17" i="7"/>
  <c r="S18" i="7"/>
  <c r="T18" i="7"/>
  <c r="S19" i="7"/>
  <c r="T19" i="7"/>
  <c r="S20" i="7"/>
  <c r="T20" i="7"/>
  <c r="S21" i="7"/>
  <c r="T21" i="7"/>
  <c r="S22" i="7"/>
  <c r="T22" i="7"/>
  <c r="S23" i="7"/>
  <c r="T23" i="7"/>
  <c r="S24" i="7"/>
  <c r="T24" i="7"/>
  <c r="S25" i="7"/>
  <c r="T25" i="7"/>
  <c r="S26" i="7"/>
  <c r="T26" i="7"/>
  <c r="S27" i="7"/>
  <c r="T27" i="7"/>
  <c r="B28" i="7"/>
  <c r="T28" i="7" s="1"/>
  <c r="C28" i="7"/>
  <c r="D28" i="7"/>
  <c r="E28" i="7"/>
  <c r="S28" i="7" s="1"/>
  <c r="F28" i="7"/>
  <c r="G28" i="7"/>
  <c r="H28" i="7"/>
  <c r="I28" i="7"/>
  <c r="J28" i="7"/>
  <c r="K28" i="7"/>
  <c r="L28" i="7"/>
  <c r="M28" i="7"/>
  <c r="N28" i="7"/>
  <c r="O28" i="7"/>
  <c r="P28" i="7"/>
  <c r="Q28" i="7"/>
  <c r="R28" i="7"/>
  <c r="S29" i="7"/>
  <c r="F211" i="8" l="1"/>
  <c r="I372" i="8"/>
  <c r="I302" i="8"/>
  <c r="I488" i="8"/>
  <c r="I274" i="8"/>
  <c r="F274" i="8"/>
  <c r="F90" i="8"/>
  <c r="F98" i="8"/>
  <c r="I307" i="8"/>
  <c r="F331" i="8"/>
  <c r="F94" i="8"/>
  <c r="I312" i="8"/>
  <c r="I256" i="8"/>
  <c r="F416" i="8"/>
  <c r="I409" i="8"/>
  <c r="F206" i="8"/>
  <c r="I493" i="8"/>
  <c r="F273" i="8"/>
  <c r="I368" i="8"/>
  <c r="F399" i="8"/>
  <c r="I319" i="8"/>
  <c r="F395" i="8"/>
  <c r="I46" i="8"/>
  <c r="F464" i="8"/>
  <c r="F57" i="8"/>
  <c r="F76" i="8"/>
  <c r="I76" i="8"/>
  <c r="I260" i="8"/>
  <c r="I383" i="8"/>
  <c r="F27" i="8"/>
  <c r="I27" i="8"/>
  <c r="I216" i="8"/>
  <c r="I466" i="8"/>
  <c r="I473" i="8"/>
  <c r="F32" i="8"/>
  <c r="I481" i="8"/>
  <c r="I281" i="8"/>
  <c r="I201" i="8"/>
  <c r="I262" i="8"/>
  <c r="I156" i="8"/>
  <c r="I477" i="8"/>
  <c r="I285" i="8"/>
  <c r="F232" i="8"/>
  <c r="F24" i="8"/>
  <c r="I446" i="8"/>
  <c r="F292" i="8"/>
  <c r="I155" i="8"/>
  <c r="I111" i="8"/>
  <c r="F485" i="8"/>
  <c r="I433" i="8"/>
  <c r="F18" i="8"/>
  <c r="F376" i="8"/>
  <c r="I379" i="8"/>
  <c r="I264" i="8"/>
  <c r="F296" i="8"/>
  <c r="I317" i="8"/>
  <c r="I294" i="8"/>
  <c r="I71" i="8"/>
  <c r="I177" i="8"/>
  <c r="F427" i="8"/>
  <c r="I323" i="8"/>
  <c r="F48" i="8"/>
  <c r="I356" i="8"/>
  <c r="I489" i="8"/>
  <c r="F437" i="8"/>
  <c r="F102" i="8"/>
  <c r="F50" i="8"/>
  <c r="I92" i="8"/>
  <c r="F432" i="8"/>
  <c r="F472" i="8"/>
  <c r="F96" i="8"/>
  <c r="I280" i="8"/>
  <c r="F315" i="8"/>
  <c r="F120" i="8"/>
  <c r="F468" i="8"/>
  <c r="I114" i="8"/>
  <c r="F212" i="8"/>
  <c r="F301" i="8"/>
  <c r="I267" i="8"/>
  <c r="F403" i="8"/>
  <c r="C25" i="1"/>
  <c r="B11" i="1"/>
  <c r="B10" i="1"/>
  <c r="B9" i="1"/>
  <c r="B8" i="1"/>
  <c r="B5" i="1"/>
  <c r="A5" i="1"/>
  <c r="B35" i="1" l="1"/>
  <c r="B34" i="1"/>
  <c r="B33" i="1"/>
  <c r="B32" i="1"/>
  <c r="B31" i="1"/>
  <c r="B30" i="1"/>
  <c r="B29" i="1"/>
  <c r="B28" i="1"/>
  <c r="B27" i="1"/>
  <c r="B26" i="1"/>
  <c r="B25" i="1"/>
  <c r="B24" i="1"/>
  <c r="AA3" i="1"/>
  <c r="AB3" i="1"/>
  <c r="B2" i="1"/>
  <c r="C24" i="1"/>
  <c r="C30" i="1"/>
  <c r="A11" i="1"/>
  <c r="A10" i="1"/>
  <c r="A9" i="1"/>
  <c r="A8" i="1"/>
  <c r="B4" i="1"/>
  <c r="B3" i="1"/>
  <c r="A4" i="1"/>
  <c r="A3" i="1"/>
  <c r="AB4" i="1" l="1"/>
  <c r="AB6" i="1" l="1"/>
  <c r="AA4" i="1"/>
  <c r="AA6" i="1" s="1"/>
  <c r="AA5" i="1" l="1"/>
  <c r="T167" i="1"/>
  <c r="T168" i="1"/>
  <c r="N168" i="1" s="1"/>
  <c r="T169" i="1"/>
  <c r="R169" i="1" s="1"/>
  <c r="T170" i="1"/>
  <c r="P170" i="1" s="1"/>
  <c r="T171" i="1"/>
  <c r="K171" i="1" s="1"/>
  <c r="T172" i="1"/>
  <c r="R172" i="1" s="1"/>
  <c r="U167" i="1"/>
  <c r="F167" i="1" s="1"/>
  <c r="U168" i="1"/>
  <c r="F168" i="1" s="1"/>
  <c r="U169" i="1"/>
  <c r="F169" i="1" s="1"/>
  <c r="U170" i="1"/>
  <c r="F170" i="1" s="1"/>
  <c r="U171" i="1"/>
  <c r="F171" i="1" s="1"/>
  <c r="U172" i="1"/>
  <c r="F172" i="1" s="1"/>
  <c r="T124" i="1"/>
  <c r="O124" i="1" s="1"/>
  <c r="T125" i="1"/>
  <c r="L125" i="1" s="1"/>
  <c r="T126" i="1"/>
  <c r="T127" i="1"/>
  <c r="N127" i="1" s="1"/>
  <c r="T128" i="1"/>
  <c r="T129" i="1"/>
  <c r="P129" i="1" s="1"/>
  <c r="T130" i="1"/>
  <c r="T131" i="1"/>
  <c r="R131" i="1" s="1"/>
  <c r="T132" i="1"/>
  <c r="T123" i="1"/>
  <c r="U124" i="1"/>
  <c r="F124" i="1" s="1"/>
  <c r="U125" i="1"/>
  <c r="F125" i="1" s="1"/>
  <c r="U126" i="1"/>
  <c r="F126" i="1" s="1"/>
  <c r="U127" i="1"/>
  <c r="F127" i="1" s="1"/>
  <c r="U128" i="1"/>
  <c r="F128" i="1" s="1"/>
  <c r="U129" i="1"/>
  <c r="F129" i="1" s="1"/>
  <c r="U130" i="1"/>
  <c r="F130" i="1" s="1"/>
  <c r="U131" i="1"/>
  <c r="F131" i="1" s="1"/>
  <c r="U132" i="1"/>
  <c r="F132" i="1" s="1"/>
  <c r="U123" i="1"/>
  <c r="F123" i="1" s="1"/>
  <c r="T118" i="1"/>
  <c r="Q118" i="1" s="1"/>
  <c r="T119" i="1"/>
  <c r="T120" i="1"/>
  <c r="R120" i="1" s="1"/>
  <c r="T121" i="1"/>
  <c r="T122" i="1"/>
  <c r="R122" i="1" s="1"/>
  <c r="U118" i="1"/>
  <c r="F118" i="1" s="1"/>
  <c r="U119" i="1"/>
  <c r="F119" i="1" s="1"/>
  <c r="U120" i="1"/>
  <c r="F120" i="1" s="1"/>
  <c r="U121" i="1"/>
  <c r="F121" i="1" s="1"/>
  <c r="U122" i="1"/>
  <c r="F122" i="1" s="1"/>
  <c r="T139" i="1"/>
  <c r="T140" i="1"/>
  <c r="M140" i="1" s="1"/>
  <c r="T141" i="1"/>
  <c r="K141" i="1" s="1"/>
  <c r="T142" i="1"/>
  <c r="O142" i="1" s="1"/>
  <c r="T144" i="1"/>
  <c r="T145" i="1"/>
  <c r="T146" i="1"/>
  <c r="T147" i="1"/>
  <c r="T148" i="1"/>
  <c r="K148" i="1" s="1"/>
  <c r="T149" i="1"/>
  <c r="R149" i="1" s="1"/>
  <c r="T150" i="1"/>
  <c r="M150" i="1" s="1"/>
  <c r="T151" i="1"/>
  <c r="R151" i="1" s="1"/>
  <c r="T152" i="1"/>
  <c r="O152" i="1" s="1"/>
  <c r="U152" i="1"/>
  <c r="F152" i="1" s="1"/>
  <c r="U144" i="1"/>
  <c r="F144" i="1" s="1"/>
  <c r="U145" i="1"/>
  <c r="F145" i="1" s="1"/>
  <c r="U146" i="1"/>
  <c r="F146" i="1" s="1"/>
  <c r="U147" i="1"/>
  <c r="F147" i="1" s="1"/>
  <c r="U148" i="1"/>
  <c r="F148" i="1" s="1"/>
  <c r="U149" i="1"/>
  <c r="F149" i="1" s="1"/>
  <c r="U150" i="1"/>
  <c r="F150" i="1" s="1"/>
  <c r="U151" i="1"/>
  <c r="F151" i="1" s="1"/>
  <c r="U139" i="1"/>
  <c r="F139" i="1" s="1"/>
  <c r="U140" i="1"/>
  <c r="F140" i="1" s="1"/>
  <c r="U141" i="1"/>
  <c r="F141" i="1" s="1"/>
  <c r="U142" i="1"/>
  <c r="F142" i="1" s="1"/>
  <c r="F179" i="1"/>
  <c r="F180" i="1"/>
  <c r="F181" i="1"/>
  <c r="F182" i="1"/>
  <c r="F159" i="1"/>
  <c r="F160" i="1"/>
  <c r="F161" i="1"/>
  <c r="F162" i="1"/>
  <c r="T105" i="1"/>
  <c r="U105" i="1"/>
  <c r="F105" i="1" s="1"/>
  <c r="T106" i="1"/>
  <c r="U106" i="1"/>
  <c r="F106" i="1" s="1"/>
  <c r="T107" i="1"/>
  <c r="U107" i="1"/>
  <c r="F107" i="1" s="1"/>
  <c r="T108" i="1"/>
  <c r="K108" i="1" s="1"/>
  <c r="U108" i="1"/>
  <c r="F108" i="1" s="1"/>
  <c r="T109" i="1"/>
  <c r="R109" i="1" s="1"/>
  <c r="U109" i="1"/>
  <c r="F109" i="1" s="1"/>
  <c r="T110" i="1"/>
  <c r="M110" i="1" s="1"/>
  <c r="U110" i="1"/>
  <c r="F110" i="1" s="1"/>
  <c r="T111" i="1"/>
  <c r="U111" i="1"/>
  <c r="F111" i="1" s="1"/>
  <c r="T112" i="1"/>
  <c r="O112" i="1" s="1"/>
  <c r="U112" i="1"/>
  <c r="F112" i="1" s="1"/>
  <c r="T96" i="1"/>
  <c r="K96" i="1" s="1"/>
  <c r="U96" i="1"/>
  <c r="F96" i="1" s="1"/>
  <c r="T97" i="1"/>
  <c r="R97" i="1" s="1"/>
  <c r="U97" i="1"/>
  <c r="F97" i="1" s="1"/>
  <c r="T98" i="1"/>
  <c r="M98" i="1" s="1"/>
  <c r="U98" i="1"/>
  <c r="F98" i="1" s="1"/>
  <c r="T99" i="1"/>
  <c r="R99" i="1" s="1"/>
  <c r="U99" i="1"/>
  <c r="F99" i="1" s="1"/>
  <c r="T100" i="1"/>
  <c r="O100" i="1" s="1"/>
  <c r="U100" i="1"/>
  <c r="F100" i="1" s="1"/>
  <c r="T101" i="1"/>
  <c r="R101" i="1" s="1"/>
  <c r="U101" i="1"/>
  <c r="F101" i="1" s="1"/>
  <c r="T102" i="1"/>
  <c r="R102" i="1" s="1"/>
  <c r="U102" i="1"/>
  <c r="F102" i="1" s="1"/>
  <c r="U84" i="1"/>
  <c r="F84" i="1" s="1"/>
  <c r="U85" i="1"/>
  <c r="F85" i="1" s="1"/>
  <c r="U86" i="1"/>
  <c r="F86" i="1" s="1"/>
  <c r="U87" i="1"/>
  <c r="F87" i="1" s="1"/>
  <c r="U88" i="1"/>
  <c r="F88" i="1" s="1"/>
  <c r="U89" i="1"/>
  <c r="F89" i="1" s="1"/>
  <c r="U90" i="1"/>
  <c r="F90" i="1" s="1"/>
  <c r="U91" i="1"/>
  <c r="F91" i="1" s="1"/>
  <c r="U92" i="1"/>
  <c r="F92" i="1" s="1"/>
  <c r="T84" i="1"/>
  <c r="L84" i="1" s="1"/>
  <c r="T85" i="1"/>
  <c r="R85" i="1" s="1"/>
  <c r="T86" i="1"/>
  <c r="N86" i="1" s="1"/>
  <c r="T87" i="1"/>
  <c r="R87" i="1" s="1"/>
  <c r="T88" i="1"/>
  <c r="P88" i="1" s="1"/>
  <c r="T89" i="1"/>
  <c r="R89" i="1" s="1"/>
  <c r="T90" i="1"/>
  <c r="R90" i="1" s="1"/>
  <c r="T91" i="1"/>
  <c r="T92" i="1"/>
  <c r="P92" i="1" s="1"/>
  <c r="T83" i="1"/>
  <c r="K83" i="1" s="1"/>
  <c r="T74" i="1"/>
  <c r="T75" i="1"/>
  <c r="O75" i="1" s="1"/>
  <c r="T76" i="1"/>
  <c r="L76" i="1" s="1"/>
  <c r="T77" i="1"/>
  <c r="Q77" i="1" s="1"/>
  <c r="T78" i="1"/>
  <c r="N78" i="1" s="1"/>
  <c r="T79" i="1"/>
  <c r="T80" i="1"/>
  <c r="T81" i="1"/>
  <c r="R81" i="1" s="1"/>
  <c r="T82" i="1"/>
  <c r="U83" i="1"/>
  <c r="F83" i="1" s="1"/>
  <c r="U74" i="1"/>
  <c r="F74" i="1" s="1"/>
  <c r="U75" i="1"/>
  <c r="F75" i="1" s="1"/>
  <c r="U76" i="1"/>
  <c r="F76" i="1" s="1"/>
  <c r="U77" i="1"/>
  <c r="F77" i="1" s="1"/>
  <c r="U78" i="1"/>
  <c r="F78" i="1" s="1"/>
  <c r="U79" i="1"/>
  <c r="F79" i="1" s="1"/>
  <c r="U80" i="1"/>
  <c r="F80" i="1" s="1"/>
  <c r="U81" i="1"/>
  <c r="F81" i="1" s="1"/>
  <c r="U82" i="1"/>
  <c r="F82" i="1" s="1"/>
  <c r="F69" i="1"/>
  <c r="F70" i="1"/>
  <c r="F71" i="1"/>
  <c r="F72" i="1"/>
  <c r="T54" i="1"/>
  <c r="U54" i="1"/>
  <c r="F54" i="1" s="1"/>
  <c r="T55" i="1"/>
  <c r="U55" i="1"/>
  <c r="F55" i="1" s="1"/>
  <c r="T56" i="1"/>
  <c r="K56" i="1" s="1"/>
  <c r="U56" i="1"/>
  <c r="F56" i="1" s="1"/>
  <c r="T57" i="1"/>
  <c r="U57" i="1"/>
  <c r="F57" i="1" s="1"/>
  <c r="T58" i="1"/>
  <c r="M58" i="1" s="1"/>
  <c r="U58" i="1"/>
  <c r="F58" i="1" s="1"/>
  <c r="T59" i="1"/>
  <c r="U59" i="1"/>
  <c r="F59" i="1" s="1"/>
  <c r="T60" i="1"/>
  <c r="O60" i="1" s="1"/>
  <c r="U60" i="1"/>
  <c r="F60" i="1" s="1"/>
  <c r="T61" i="1"/>
  <c r="U61" i="1"/>
  <c r="F61" i="1" s="1"/>
  <c r="T62" i="1"/>
  <c r="Q62" i="1" s="1"/>
  <c r="U62" i="1"/>
  <c r="F62" i="1" s="1"/>
  <c r="T53" i="1"/>
  <c r="P53" i="1" s="1"/>
  <c r="U53" i="1"/>
  <c r="F53" i="1" s="1"/>
  <c r="T46" i="1"/>
  <c r="N46" i="1" s="1"/>
  <c r="U46" i="1"/>
  <c r="F46" i="1" s="1"/>
  <c r="T47" i="1"/>
  <c r="U47" i="1"/>
  <c r="F47" i="1" s="1"/>
  <c r="T48" i="1"/>
  <c r="P48" i="1" s="1"/>
  <c r="U48" i="1"/>
  <c r="F48" i="1" s="1"/>
  <c r="T49" i="1"/>
  <c r="L49" i="1" s="1"/>
  <c r="U49" i="1"/>
  <c r="F49" i="1" s="1"/>
  <c r="T50" i="1"/>
  <c r="R50" i="1" s="1"/>
  <c r="U50" i="1"/>
  <c r="F50" i="1" s="1"/>
  <c r="T51" i="1"/>
  <c r="U51" i="1"/>
  <c r="F51" i="1" s="1"/>
  <c r="T52" i="1"/>
  <c r="L52" i="1" s="1"/>
  <c r="U52" i="1"/>
  <c r="F52" i="1" s="1"/>
  <c r="T40" i="1"/>
  <c r="T41" i="1"/>
  <c r="T42" i="1"/>
  <c r="U40" i="1"/>
  <c r="F40" i="1" s="1"/>
  <c r="U41" i="1"/>
  <c r="F41" i="1" s="1"/>
  <c r="U42" i="1"/>
  <c r="F42" i="1" s="1"/>
  <c r="U28" i="1"/>
  <c r="F28" i="1" s="1"/>
  <c r="U29" i="1"/>
  <c r="F29" i="1" s="1"/>
  <c r="U30" i="1"/>
  <c r="F30" i="1" s="1"/>
  <c r="U31" i="1"/>
  <c r="F31" i="1" s="1"/>
  <c r="U32" i="1"/>
  <c r="F32" i="1" s="1"/>
  <c r="T28" i="1"/>
  <c r="T29" i="1"/>
  <c r="T30" i="1"/>
  <c r="T31" i="1"/>
  <c r="T32" i="1"/>
  <c r="T14" i="1"/>
  <c r="K14" i="1" s="1"/>
  <c r="T15" i="1"/>
  <c r="T16" i="1"/>
  <c r="M16" i="1" s="1"/>
  <c r="T17" i="1"/>
  <c r="R17" i="1" s="1"/>
  <c r="T18" i="1"/>
  <c r="O18" i="1" s="1"/>
  <c r="T19" i="1"/>
  <c r="T20" i="1"/>
  <c r="Q20" i="1" s="1"/>
  <c r="T21" i="1"/>
  <c r="R21" i="1" s="1"/>
  <c r="T22" i="1"/>
  <c r="K22" i="1" s="1"/>
  <c r="U14" i="1"/>
  <c r="F14" i="1" s="1"/>
  <c r="U15" i="1"/>
  <c r="F15" i="1" s="1"/>
  <c r="U16" i="1"/>
  <c r="F16" i="1" s="1"/>
  <c r="U17" i="1"/>
  <c r="F17" i="1" s="1"/>
  <c r="U18" i="1"/>
  <c r="F18" i="1" s="1"/>
  <c r="U19" i="1"/>
  <c r="F19" i="1" s="1"/>
  <c r="U20" i="1"/>
  <c r="F20" i="1" s="1"/>
  <c r="U21" i="1"/>
  <c r="F21" i="1" s="1"/>
  <c r="U22" i="1"/>
  <c r="F22" i="1" s="1"/>
  <c r="T7" i="1"/>
  <c r="M7" i="1" s="1"/>
  <c r="T8" i="1"/>
  <c r="T9" i="1"/>
  <c r="O9" i="1" s="1"/>
  <c r="T10" i="1"/>
  <c r="T11" i="1"/>
  <c r="Q11" i="1" s="1"/>
  <c r="T12" i="1"/>
  <c r="U7" i="1"/>
  <c r="F7" i="1" s="1"/>
  <c r="U8" i="1"/>
  <c r="F8" i="1" s="1"/>
  <c r="U9" i="1"/>
  <c r="F9" i="1" s="1"/>
  <c r="U10" i="1"/>
  <c r="F10" i="1" s="1"/>
  <c r="U11" i="1"/>
  <c r="F11" i="1" s="1"/>
  <c r="U12" i="1"/>
  <c r="F12" i="1" s="1"/>
  <c r="T33" i="1"/>
  <c r="Q122" i="1" l="1"/>
  <c r="P122" i="1"/>
  <c r="O122" i="1"/>
  <c r="M132" i="1"/>
  <c r="N122" i="1"/>
  <c r="K122" i="1"/>
  <c r="L122" i="1"/>
  <c r="N105" i="1"/>
  <c r="P131" i="1"/>
  <c r="O131" i="1"/>
  <c r="Q119" i="1"/>
  <c r="N131" i="1"/>
  <c r="M131" i="1"/>
  <c r="R105" i="1"/>
  <c r="K105" i="1"/>
  <c r="K88" i="1"/>
  <c r="R170" i="1"/>
  <c r="Q172" i="1"/>
  <c r="O172" i="1"/>
  <c r="N172" i="1"/>
  <c r="M172" i="1"/>
  <c r="L172" i="1"/>
  <c r="K172" i="1"/>
  <c r="P172" i="1"/>
  <c r="P128" i="1"/>
  <c r="Q128" i="1"/>
  <c r="O128" i="1"/>
  <c r="N128" i="1"/>
  <c r="M128" i="1"/>
  <c r="N170" i="1"/>
  <c r="Q109" i="1"/>
  <c r="M170" i="1"/>
  <c r="P109" i="1"/>
  <c r="L170" i="1"/>
  <c r="O109" i="1"/>
  <c r="K170" i="1"/>
  <c r="N109" i="1"/>
  <c r="M109" i="1"/>
  <c r="Q131" i="1"/>
  <c r="Q170" i="1"/>
  <c r="O170" i="1"/>
  <c r="R171" i="1"/>
  <c r="K128" i="1"/>
  <c r="Q130" i="1"/>
  <c r="R167" i="1"/>
  <c r="K118" i="1"/>
  <c r="P130" i="1"/>
  <c r="M127" i="1"/>
  <c r="P167" i="1"/>
  <c r="N118" i="1"/>
  <c r="M89" i="1"/>
  <c r="L118" i="1"/>
  <c r="K57" i="1"/>
  <c r="L89" i="1"/>
  <c r="N88" i="1"/>
  <c r="R125" i="1"/>
  <c r="O130" i="1"/>
  <c r="K125" i="1"/>
  <c r="N167" i="1"/>
  <c r="P119" i="1"/>
  <c r="O119" i="1"/>
  <c r="L131" i="1"/>
  <c r="M119" i="1"/>
  <c r="K131" i="1"/>
  <c r="P118" i="1"/>
  <c r="O118" i="1"/>
  <c r="L128" i="1"/>
  <c r="L61" i="1"/>
  <c r="K61" i="1"/>
  <c r="M118" i="1"/>
  <c r="R52" i="1"/>
  <c r="M88" i="1"/>
  <c r="R128" i="1"/>
  <c r="N130" i="1"/>
  <c r="M167" i="1"/>
  <c r="R51" i="1"/>
  <c r="L88" i="1"/>
  <c r="R129" i="1"/>
  <c r="M130" i="1"/>
  <c r="Q121" i="1"/>
  <c r="R130" i="1"/>
  <c r="L130" i="1"/>
  <c r="Q171" i="1"/>
  <c r="Q120" i="1"/>
  <c r="K130" i="1"/>
  <c r="P171" i="1"/>
  <c r="P120" i="1"/>
  <c r="R132" i="1"/>
  <c r="O129" i="1"/>
  <c r="M171" i="1"/>
  <c r="O120" i="1"/>
  <c r="Q132" i="1"/>
  <c r="N129" i="1"/>
  <c r="L171" i="1"/>
  <c r="N120" i="1"/>
  <c r="P132" i="1"/>
  <c r="M129" i="1"/>
  <c r="O132" i="1"/>
  <c r="L129" i="1"/>
  <c r="M120" i="1"/>
  <c r="L120" i="1"/>
  <c r="N132" i="1"/>
  <c r="K129" i="1"/>
  <c r="N55" i="1"/>
  <c r="L55" i="1"/>
  <c r="L127" i="1"/>
  <c r="K127" i="1"/>
  <c r="Q124" i="1"/>
  <c r="P124" i="1"/>
  <c r="M124" i="1"/>
  <c r="L124" i="1"/>
  <c r="R126" i="1"/>
  <c r="K124" i="1"/>
  <c r="L126" i="1"/>
  <c r="K126" i="1"/>
  <c r="R127" i="1"/>
  <c r="R124" i="1"/>
  <c r="Q126" i="1"/>
  <c r="L132" i="1"/>
  <c r="Q125" i="1"/>
  <c r="O126" i="1"/>
  <c r="M126" i="1"/>
  <c r="K132" i="1"/>
  <c r="P125" i="1"/>
  <c r="P126" i="1"/>
  <c r="N126" i="1"/>
  <c r="Q127" i="1"/>
  <c r="O125" i="1"/>
  <c r="N124" i="1"/>
  <c r="P127" i="1"/>
  <c r="N125" i="1"/>
  <c r="Q129" i="1"/>
  <c r="O127" i="1"/>
  <c r="M125" i="1"/>
  <c r="P123" i="1"/>
  <c r="R123" i="1"/>
  <c r="N123" i="1"/>
  <c r="K123" i="1"/>
  <c r="L123" i="1"/>
  <c r="Q123" i="1"/>
  <c r="O123" i="1"/>
  <c r="M123" i="1"/>
  <c r="M168" i="1"/>
  <c r="L168" i="1"/>
  <c r="K168" i="1"/>
  <c r="Q167" i="1"/>
  <c r="Q169" i="1"/>
  <c r="O167" i="1"/>
  <c r="P169" i="1"/>
  <c r="O169" i="1"/>
  <c r="N169" i="1"/>
  <c r="L167" i="1"/>
  <c r="O171" i="1"/>
  <c r="M169" i="1"/>
  <c r="K167" i="1"/>
  <c r="N171" i="1"/>
  <c r="L169" i="1"/>
  <c r="K169" i="1"/>
  <c r="R168" i="1"/>
  <c r="Q168" i="1"/>
  <c r="P168" i="1"/>
  <c r="O168" i="1"/>
  <c r="M122" i="1"/>
  <c r="K120" i="1"/>
  <c r="P121" i="1"/>
  <c r="N119" i="1"/>
  <c r="N121" i="1"/>
  <c r="L119" i="1"/>
  <c r="M121" i="1"/>
  <c r="K119" i="1"/>
  <c r="R118" i="1"/>
  <c r="L121" i="1"/>
  <c r="O121" i="1"/>
  <c r="R119" i="1"/>
  <c r="K121" i="1"/>
  <c r="R121" i="1"/>
  <c r="Q21" i="1"/>
  <c r="Q51" i="1"/>
  <c r="N85" i="1"/>
  <c r="Q52" i="1"/>
  <c r="P51" i="1"/>
  <c r="L85" i="1"/>
  <c r="P85" i="1"/>
  <c r="O51" i="1"/>
  <c r="K85" i="1"/>
  <c r="Q85" i="1"/>
  <c r="M51" i="1"/>
  <c r="O21" i="1"/>
  <c r="O19" i="1"/>
  <c r="L51" i="1"/>
  <c r="K99" i="1"/>
  <c r="Q84" i="1"/>
  <c r="R108" i="1"/>
  <c r="K84" i="1"/>
  <c r="R110" i="1"/>
  <c r="K89" i="1"/>
  <c r="O85" i="1"/>
  <c r="N97" i="1"/>
  <c r="O88" i="1"/>
  <c r="Q140" i="1"/>
  <c r="Q12" i="1"/>
  <c r="L140" i="1"/>
  <c r="K140" i="1"/>
  <c r="R59" i="1"/>
  <c r="K51" i="1"/>
  <c r="L109" i="1"/>
  <c r="L47" i="1"/>
  <c r="Q59" i="1"/>
  <c r="K109" i="1"/>
  <c r="R140" i="1"/>
  <c r="P59" i="1"/>
  <c r="R141" i="1"/>
  <c r="P151" i="1"/>
  <c r="P12" i="1"/>
  <c r="O12" i="1"/>
  <c r="N12" i="1"/>
  <c r="Q8" i="1"/>
  <c r="O59" i="1"/>
  <c r="R142" i="1"/>
  <c r="O151" i="1"/>
  <c r="P8" i="1"/>
  <c r="N59" i="1"/>
  <c r="R144" i="1"/>
  <c r="M151" i="1"/>
  <c r="R12" i="1"/>
  <c r="O8" i="1"/>
  <c r="M59" i="1"/>
  <c r="R145" i="1"/>
  <c r="P149" i="1"/>
  <c r="N8" i="1"/>
  <c r="L59" i="1"/>
  <c r="Q91" i="1"/>
  <c r="Q108" i="1"/>
  <c r="R146" i="1"/>
  <c r="N149" i="1"/>
  <c r="P11" i="1"/>
  <c r="M8" i="1"/>
  <c r="K59" i="1"/>
  <c r="Q90" i="1"/>
  <c r="P108" i="1"/>
  <c r="R147" i="1"/>
  <c r="M149" i="1"/>
  <c r="L8" i="1"/>
  <c r="N57" i="1"/>
  <c r="P90" i="1"/>
  <c r="K102" i="1"/>
  <c r="M107" i="1"/>
  <c r="M142" i="1"/>
  <c r="K149" i="1"/>
  <c r="M57" i="1"/>
  <c r="N89" i="1"/>
  <c r="L107" i="1"/>
  <c r="K107" i="1"/>
  <c r="R53" i="1"/>
  <c r="N79" i="1"/>
  <c r="R139" i="1"/>
  <c r="O53" i="1"/>
  <c r="P91" i="1"/>
  <c r="M79" i="1"/>
  <c r="Q101" i="1"/>
  <c r="P97" i="1"/>
  <c r="L151" i="1"/>
  <c r="N53" i="1"/>
  <c r="O91" i="1"/>
  <c r="K79" i="1"/>
  <c r="P101" i="1"/>
  <c r="O97" i="1"/>
  <c r="Q106" i="1"/>
  <c r="K151" i="1"/>
  <c r="M53" i="1"/>
  <c r="N91" i="1"/>
  <c r="O101" i="1"/>
  <c r="P106" i="1"/>
  <c r="L53" i="1"/>
  <c r="M91" i="1"/>
  <c r="N101" i="1"/>
  <c r="M97" i="1"/>
  <c r="N106" i="1"/>
  <c r="P62" i="1"/>
  <c r="K53" i="1"/>
  <c r="L91" i="1"/>
  <c r="M101" i="1"/>
  <c r="K97" i="1"/>
  <c r="L101" i="1"/>
  <c r="L105" i="1"/>
  <c r="K11" i="1"/>
  <c r="K101" i="1"/>
  <c r="Q139" i="1"/>
  <c r="N11" i="1"/>
  <c r="R106" i="1"/>
  <c r="P139" i="1"/>
  <c r="R107" i="1"/>
  <c r="O139" i="1"/>
  <c r="M15" i="1"/>
  <c r="N139" i="1"/>
  <c r="K8" i="1"/>
  <c r="R76" i="1"/>
  <c r="K15" i="1"/>
  <c r="P10" i="1"/>
  <c r="Q7" i="1"/>
  <c r="P52" i="1"/>
  <c r="R83" i="1"/>
  <c r="L90" i="1"/>
  <c r="Q87" i="1"/>
  <c r="Q74" i="1"/>
  <c r="O108" i="1"/>
  <c r="M139" i="1"/>
  <c r="O10" i="1"/>
  <c r="L7" i="1"/>
  <c r="R57" i="1"/>
  <c r="O52" i="1"/>
  <c r="R91" i="1"/>
  <c r="K90" i="1"/>
  <c r="P87" i="1"/>
  <c r="P74" i="1"/>
  <c r="L139" i="1"/>
  <c r="N147" i="1"/>
  <c r="O62" i="1"/>
  <c r="M62" i="1"/>
  <c r="O76" i="1"/>
  <c r="K62" i="1"/>
  <c r="N10" i="1"/>
  <c r="K7" i="1"/>
  <c r="P57" i="1"/>
  <c r="R92" i="1"/>
  <c r="O87" i="1"/>
  <c r="Q83" i="1"/>
  <c r="O74" i="1"/>
  <c r="Q141" i="1"/>
  <c r="K139" i="1"/>
  <c r="K147" i="1"/>
  <c r="P15" i="1"/>
  <c r="N15" i="1"/>
  <c r="L62" i="1"/>
  <c r="N90" i="1"/>
  <c r="M10" i="1"/>
  <c r="R61" i="1"/>
  <c r="O57" i="1"/>
  <c r="Q92" i="1"/>
  <c r="N87" i="1"/>
  <c r="P83" i="1"/>
  <c r="M74" i="1"/>
  <c r="Q102" i="1"/>
  <c r="Q111" i="1"/>
  <c r="P141" i="1"/>
  <c r="O11" i="1"/>
  <c r="R7" i="1"/>
  <c r="L10" i="1"/>
  <c r="Q61" i="1"/>
  <c r="P49" i="1"/>
  <c r="O92" i="1"/>
  <c r="M87" i="1"/>
  <c r="O83" i="1"/>
  <c r="L74" i="1"/>
  <c r="P102" i="1"/>
  <c r="Q99" i="1"/>
  <c r="P111" i="1"/>
  <c r="O141" i="1"/>
  <c r="L11" i="1"/>
  <c r="R74" i="1"/>
  <c r="R8" i="1"/>
  <c r="K10" i="1"/>
  <c r="P61" i="1"/>
  <c r="N92" i="1"/>
  <c r="L87" i="1"/>
  <c r="N83" i="1"/>
  <c r="K74" i="1"/>
  <c r="O102" i="1"/>
  <c r="P99" i="1"/>
  <c r="O111" i="1"/>
  <c r="Q107" i="1"/>
  <c r="N141" i="1"/>
  <c r="Q146" i="1"/>
  <c r="P17" i="1"/>
  <c r="N62" i="1"/>
  <c r="R9" i="1"/>
  <c r="N9" i="1"/>
  <c r="O61" i="1"/>
  <c r="Q47" i="1"/>
  <c r="M92" i="1"/>
  <c r="Q89" i="1"/>
  <c r="K87" i="1"/>
  <c r="M83" i="1"/>
  <c r="N102" i="1"/>
  <c r="O99" i="1"/>
  <c r="M111" i="1"/>
  <c r="P107" i="1"/>
  <c r="M141" i="1"/>
  <c r="N145" i="1"/>
  <c r="R77" i="1"/>
  <c r="Q10" i="1"/>
  <c r="R79" i="1"/>
  <c r="R10" i="1"/>
  <c r="M9" i="1"/>
  <c r="N61" i="1"/>
  <c r="P47" i="1"/>
  <c r="L92" i="1"/>
  <c r="P89" i="1"/>
  <c r="L83" i="1"/>
  <c r="M102" i="1"/>
  <c r="M99" i="1"/>
  <c r="K111" i="1"/>
  <c r="O107" i="1"/>
  <c r="L141" i="1"/>
  <c r="O90" i="1"/>
  <c r="M90" i="1"/>
  <c r="R11" i="1"/>
  <c r="L9" i="1"/>
  <c r="M61" i="1"/>
  <c r="N47" i="1"/>
  <c r="K92" i="1"/>
  <c r="O89" i="1"/>
  <c r="L102" i="1"/>
  <c r="L99" i="1"/>
  <c r="N107" i="1"/>
  <c r="K17" i="1"/>
  <c r="R54" i="1"/>
  <c r="M76" i="1"/>
  <c r="P20" i="1"/>
  <c r="N60" i="1"/>
  <c r="L58" i="1"/>
  <c r="Q50" i="1"/>
  <c r="O48" i="1"/>
  <c r="M46" i="1"/>
  <c r="M86" i="1"/>
  <c r="P77" i="1"/>
  <c r="N75" i="1"/>
  <c r="N100" i="1"/>
  <c r="L98" i="1"/>
  <c r="N112" i="1"/>
  <c r="L110" i="1"/>
  <c r="N142" i="1"/>
  <c r="N152" i="1"/>
  <c r="L150" i="1"/>
  <c r="M17" i="1"/>
  <c r="Q54" i="1"/>
  <c r="N18" i="1"/>
  <c r="Q22" i="1"/>
  <c r="K16" i="1"/>
  <c r="K58" i="1"/>
  <c r="P50" i="1"/>
  <c r="L46" i="1"/>
  <c r="L86" i="1"/>
  <c r="Q79" i="1"/>
  <c r="O77" i="1"/>
  <c r="M75" i="1"/>
  <c r="M100" i="1"/>
  <c r="K98" i="1"/>
  <c r="M112" i="1"/>
  <c r="K110" i="1"/>
  <c r="M152" i="1"/>
  <c r="K150" i="1"/>
  <c r="K81" i="1"/>
  <c r="M18" i="1"/>
  <c r="L112" i="1"/>
  <c r="Q105" i="1"/>
  <c r="L142" i="1"/>
  <c r="L152" i="1"/>
  <c r="Q145" i="1"/>
  <c r="N21" i="1"/>
  <c r="R22" i="1"/>
  <c r="L16" i="1"/>
  <c r="O20" i="1"/>
  <c r="M60" i="1"/>
  <c r="N48" i="1"/>
  <c r="P22" i="1"/>
  <c r="N20" i="1"/>
  <c r="L18" i="1"/>
  <c r="L60" i="1"/>
  <c r="Q53" i="1"/>
  <c r="O50" i="1"/>
  <c r="M48" i="1"/>
  <c r="K46" i="1"/>
  <c r="K86" i="1"/>
  <c r="P79" i="1"/>
  <c r="N77" i="1"/>
  <c r="L75" i="1"/>
  <c r="L100" i="1"/>
  <c r="O22" i="1"/>
  <c r="M20" i="1"/>
  <c r="K18" i="1"/>
  <c r="M11" i="1"/>
  <c r="K9" i="1"/>
  <c r="K60" i="1"/>
  <c r="R55" i="1"/>
  <c r="N50" i="1"/>
  <c r="L48" i="1"/>
  <c r="Q81" i="1"/>
  <c r="O79" i="1"/>
  <c r="M77" i="1"/>
  <c r="K75" i="1"/>
  <c r="K100" i="1"/>
  <c r="K112" i="1"/>
  <c r="P105" i="1"/>
  <c r="K142" i="1"/>
  <c r="K152" i="1"/>
  <c r="P145" i="1"/>
  <c r="N22" i="1"/>
  <c r="L20" i="1"/>
  <c r="Q55" i="1"/>
  <c r="M50" i="1"/>
  <c r="K48" i="1"/>
  <c r="P81" i="1"/>
  <c r="L77" i="1"/>
  <c r="O105" i="1"/>
  <c r="Q147" i="1"/>
  <c r="O145" i="1"/>
  <c r="N49" i="1"/>
  <c r="P55" i="1"/>
  <c r="L50" i="1"/>
  <c r="O81" i="1"/>
  <c r="K77" i="1"/>
  <c r="P147" i="1"/>
  <c r="M22" i="1"/>
  <c r="K20" i="1"/>
  <c r="L22" i="1"/>
  <c r="Q15" i="1"/>
  <c r="Q57" i="1"/>
  <c r="O55" i="1"/>
  <c r="K50" i="1"/>
  <c r="N81" i="1"/>
  <c r="L79" i="1"/>
  <c r="Q97" i="1"/>
  <c r="M105" i="1"/>
  <c r="Q149" i="1"/>
  <c r="O147" i="1"/>
  <c r="M145" i="1"/>
  <c r="L145" i="1"/>
  <c r="M81" i="1"/>
  <c r="Q17" i="1"/>
  <c r="O15" i="1"/>
  <c r="M55" i="1"/>
  <c r="R47" i="1"/>
  <c r="R75" i="1"/>
  <c r="L81" i="1"/>
  <c r="Q151" i="1"/>
  <c r="O149" i="1"/>
  <c r="M147" i="1"/>
  <c r="K145" i="1"/>
  <c r="L147" i="1"/>
  <c r="Q19" i="1"/>
  <c r="O17" i="1"/>
  <c r="K55" i="1"/>
  <c r="R49" i="1"/>
  <c r="Q76" i="1"/>
  <c r="P19" i="1"/>
  <c r="N17" i="1"/>
  <c r="L15" i="1"/>
  <c r="L57" i="1"/>
  <c r="Q49" i="1"/>
  <c r="O47" i="1"/>
  <c r="N51" i="1"/>
  <c r="R78" i="1"/>
  <c r="M85" i="1"/>
  <c r="P76" i="1"/>
  <c r="N74" i="1"/>
  <c r="N99" i="1"/>
  <c r="L97" i="1"/>
  <c r="N111" i="1"/>
  <c r="N151" i="1"/>
  <c r="L149" i="1"/>
  <c r="Q78" i="1"/>
  <c r="P21" i="1"/>
  <c r="N19" i="1"/>
  <c r="L17" i="1"/>
  <c r="O49" i="1"/>
  <c r="M47" i="1"/>
  <c r="R80" i="1"/>
  <c r="P78" i="1"/>
  <c r="N76" i="1"/>
  <c r="L111" i="1"/>
  <c r="Q144" i="1"/>
  <c r="P144" i="1"/>
  <c r="O144" i="1"/>
  <c r="O80" i="1"/>
  <c r="K76" i="1"/>
  <c r="R96" i="1"/>
  <c r="N144" i="1"/>
  <c r="O78" i="1"/>
  <c r="L19" i="1"/>
  <c r="K19" i="1"/>
  <c r="Q82" i="1"/>
  <c r="M78" i="1"/>
  <c r="R148" i="1"/>
  <c r="P146" i="1"/>
  <c r="R15" i="1"/>
  <c r="L21" i="1"/>
  <c r="Q14" i="1"/>
  <c r="L12" i="1"/>
  <c r="Q56" i="1"/>
  <c r="O54" i="1"/>
  <c r="M52" i="1"/>
  <c r="K49" i="1"/>
  <c r="R84" i="1"/>
  <c r="P82" i="1"/>
  <c r="N80" i="1"/>
  <c r="L78" i="1"/>
  <c r="Q96" i="1"/>
  <c r="O106" i="1"/>
  <c r="Q148" i="1"/>
  <c r="O146" i="1"/>
  <c r="M144" i="1"/>
  <c r="R82" i="1"/>
  <c r="L144" i="1"/>
  <c r="M19" i="1"/>
  <c r="R14" i="1"/>
  <c r="N52" i="1"/>
  <c r="K144" i="1"/>
  <c r="M54" i="1"/>
  <c r="R111" i="1"/>
  <c r="M146" i="1"/>
  <c r="R18" i="1"/>
  <c r="P16" i="1"/>
  <c r="N14" i="1"/>
  <c r="P7" i="1"/>
  <c r="R60" i="1"/>
  <c r="P58" i="1"/>
  <c r="N56" i="1"/>
  <c r="L54" i="1"/>
  <c r="Q46" i="1"/>
  <c r="Q86" i="1"/>
  <c r="O84" i="1"/>
  <c r="M82" i="1"/>
  <c r="K80" i="1"/>
  <c r="R100" i="1"/>
  <c r="P98" i="1"/>
  <c r="N96" i="1"/>
  <c r="R112" i="1"/>
  <c r="P110" i="1"/>
  <c r="N108" i="1"/>
  <c r="L106" i="1"/>
  <c r="R152" i="1"/>
  <c r="P140" i="1"/>
  <c r="P150" i="1"/>
  <c r="N148" i="1"/>
  <c r="L146" i="1"/>
  <c r="Q80" i="1"/>
  <c r="K47" i="1"/>
  <c r="P80" i="1"/>
  <c r="M12" i="1"/>
  <c r="R56" i="1"/>
  <c r="K12" i="1"/>
  <c r="P56" i="1"/>
  <c r="M80" i="1"/>
  <c r="R98" i="1"/>
  <c r="P96" i="1"/>
  <c r="O14" i="1"/>
  <c r="Q58" i="1"/>
  <c r="K52" i="1"/>
  <c r="R86" i="1"/>
  <c r="O148" i="1"/>
  <c r="R19" i="1"/>
  <c r="Q18" i="1"/>
  <c r="O16" i="1"/>
  <c r="M14" i="1"/>
  <c r="Q9" i="1"/>
  <c r="O7" i="1"/>
  <c r="Q60" i="1"/>
  <c r="O58" i="1"/>
  <c r="M56" i="1"/>
  <c r="K54" i="1"/>
  <c r="R48" i="1"/>
  <c r="P46" i="1"/>
  <c r="R88" i="1"/>
  <c r="P86" i="1"/>
  <c r="N84" i="1"/>
  <c r="L82" i="1"/>
  <c r="Q75" i="1"/>
  <c r="Q100" i="1"/>
  <c r="O98" i="1"/>
  <c r="M96" i="1"/>
  <c r="Q112" i="1"/>
  <c r="O110" i="1"/>
  <c r="M108" i="1"/>
  <c r="K106" i="1"/>
  <c r="Q142" i="1"/>
  <c r="O140" i="1"/>
  <c r="Q152" i="1"/>
  <c r="O150" i="1"/>
  <c r="M148" i="1"/>
  <c r="K146" i="1"/>
  <c r="M49" i="1"/>
  <c r="M21" i="1"/>
  <c r="P54" i="1"/>
  <c r="K21" i="1"/>
  <c r="N54" i="1"/>
  <c r="K78" i="1"/>
  <c r="N146" i="1"/>
  <c r="Q16" i="1"/>
  <c r="O56" i="1"/>
  <c r="K91" i="1"/>
  <c r="P84" i="1"/>
  <c r="N82" i="1"/>
  <c r="L80" i="1"/>
  <c r="Q98" i="1"/>
  <c r="Q110" i="1"/>
  <c r="Q150" i="1"/>
  <c r="R20" i="1"/>
  <c r="P18" i="1"/>
  <c r="N16" i="1"/>
  <c r="L14" i="1"/>
  <c r="P9" i="1"/>
  <c r="N7" i="1"/>
  <c r="R62" i="1"/>
  <c r="P60" i="1"/>
  <c r="N58" i="1"/>
  <c r="L56" i="1"/>
  <c r="Q48" i="1"/>
  <c r="O46" i="1"/>
  <c r="Q88" i="1"/>
  <c r="O86" i="1"/>
  <c r="M84" i="1"/>
  <c r="K82" i="1"/>
  <c r="P75" i="1"/>
  <c r="P100" i="1"/>
  <c r="N98" i="1"/>
  <c r="L96" i="1"/>
  <c r="P112" i="1"/>
  <c r="N110" i="1"/>
  <c r="L108" i="1"/>
  <c r="P142" i="1"/>
  <c r="N140" i="1"/>
  <c r="P152" i="1"/>
  <c r="N150" i="1"/>
  <c r="L148" i="1"/>
  <c r="R16" i="1"/>
  <c r="P14" i="1"/>
  <c r="R58" i="1"/>
  <c r="O82" i="1"/>
  <c r="R150" i="1"/>
  <c r="P148" i="1"/>
  <c r="R46" i="1"/>
  <c r="O96" i="1"/>
  <c r="M106" i="1"/>
  <c r="C26" i="1" l="1"/>
  <c r="C27" i="1"/>
  <c r="C28" i="1"/>
  <c r="C29" i="1"/>
  <c r="C31" i="1"/>
  <c r="C32" i="1"/>
  <c r="C33" i="1"/>
  <c r="C34" i="1"/>
  <c r="C35" i="1"/>
  <c r="G95" i="6"/>
  <c r="G94" i="6"/>
  <c r="G93" i="6"/>
  <c r="G92" i="6"/>
  <c r="G91" i="6"/>
  <c r="G90" i="6"/>
  <c r="G89" i="6"/>
  <c r="G88" i="6"/>
  <c r="G87" i="6"/>
  <c r="G86" i="6"/>
  <c r="G85" i="6"/>
  <c r="G84" i="6"/>
  <c r="G79" i="6"/>
  <c r="G78" i="6"/>
  <c r="G77" i="6"/>
  <c r="G76" i="6"/>
  <c r="G75" i="6"/>
  <c r="G74" i="6"/>
  <c r="G73" i="6"/>
  <c r="G72" i="6"/>
  <c r="G71" i="6"/>
  <c r="G70" i="6"/>
  <c r="G69" i="6"/>
  <c r="G68" i="6"/>
  <c r="G63" i="6"/>
  <c r="G62" i="6"/>
  <c r="G61" i="6"/>
  <c r="G60" i="6"/>
  <c r="G59" i="6"/>
  <c r="G58" i="6"/>
  <c r="G57" i="6"/>
  <c r="G56" i="6"/>
  <c r="G55" i="6"/>
  <c r="G54" i="6"/>
  <c r="G53" i="6"/>
  <c r="G52" i="6"/>
  <c r="G47" i="6"/>
  <c r="G46" i="6"/>
  <c r="G45" i="6"/>
  <c r="G44" i="6"/>
  <c r="G43" i="6"/>
  <c r="G42" i="6"/>
  <c r="G41" i="6"/>
  <c r="G40" i="6"/>
  <c r="G39" i="6"/>
  <c r="G38" i="6"/>
  <c r="G37" i="6"/>
  <c r="G36" i="6"/>
  <c r="G31" i="6"/>
  <c r="G30" i="6"/>
  <c r="G29" i="6"/>
  <c r="G28" i="6"/>
  <c r="G27" i="6"/>
  <c r="G26" i="6"/>
  <c r="G25" i="6"/>
  <c r="G24" i="6"/>
  <c r="G23" i="6"/>
  <c r="G22" i="6"/>
  <c r="G21" i="6"/>
  <c r="G20" i="6"/>
  <c r="G15" i="6"/>
  <c r="G14" i="6"/>
  <c r="G13" i="6"/>
  <c r="G12" i="6"/>
  <c r="G11" i="6"/>
  <c r="G10" i="6"/>
  <c r="G9" i="6"/>
  <c r="G8" i="6"/>
  <c r="G7" i="6"/>
  <c r="G6" i="6"/>
  <c r="G5" i="6"/>
  <c r="G4" i="6"/>
  <c r="C36" i="1" l="1"/>
  <c r="B7" i="1"/>
  <c r="B6" i="1"/>
  <c r="A1" i="1" l="1"/>
  <c r="B42" i="1"/>
  <c r="T134" i="1"/>
  <c r="T135" i="1"/>
  <c r="T136" i="1"/>
  <c r="T137" i="1"/>
  <c r="T138" i="1"/>
  <c r="T133" i="1"/>
  <c r="L133" i="1" s="1"/>
  <c r="T143" i="1"/>
  <c r="U143" i="1"/>
  <c r="U134" i="1"/>
  <c r="U135" i="1"/>
  <c r="U136" i="1"/>
  <c r="U137" i="1"/>
  <c r="U138" i="1"/>
  <c r="U133" i="1"/>
  <c r="T114" i="1"/>
  <c r="T115" i="1"/>
  <c r="T116" i="1"/>
  <c r="T117" i="1"/>
  <c r="T113" i="1"/>
  <c r="U114" i="1"/>
  <c r="U115" i="1"/>
  <c r="U116" i="1"/>
  <c r="U117" i="1"/>
  <c r="U113" i="1"/>
  <c r="T164" i="1"/>
  <c r="T165" i="1"/>
  <c r="T166" i="1"/>
  <c r="T163" i="1"/>
  <c r="U164" i="1"/>
  <c r="U165" i="1"/>
  <c r="U166" i="1"/>
  <c r="U163" i="1"/>
  <c r="T104" i="1"/>
  <c r="T103" i="1"/>
  <c r="T94" i="1"/>
  <c r="T95" i="1"/>
  <c r="T93" i="1"/>
  <c r="U104" i="1"/>
  <c r="U103" i="1"/>
  <c r="U94" i="1"/>
  <c r="U95" i="1"/>
  <c r="U93" i="1"/>
  <c r="T73" i="1"/>
  <c r="U73" i="1"/>
  <c r="T44" i="1"/>
  <c r="Q44" i="1" s="1"/>
  <c r="T45" i="1"/>
  <c r="R45" i="1" s="1"/>
  <c r="T43" i="1"/>
  <c r="U44" i="1"/>
  <c r="U45" i="1"/>
  <c r="U43" i="1"/>
  <c r="T34" i="1"/>
  <c r="T35" i="1"/>
  <c r="T36" i="1"/>
  <c r="T37" i="1"/>
  <c r="T38" i="1"/>
  <c r="T39" i="1"/>
  <c r="T24" i="1"/>
  <c r="T25" i="1"/>
  <c r="T26" i="1"/>
  <c r="T27" i="1"/>
  <c r="T23" i="1"/>
  <c r="T13" i="1"/>
  <c r="R103" i="1" l="1"/>
  <c r="K103" i="1"/>
  <c r="N103" i="1"/>
  <c r="L103" i="1"/>
  <c r="M103" i="1"/>
  <c r="P103" i="1"/>
  <c r="Q103" i="1"/>
  <c r="O103" i="1"/>
  <c r="K104" i="1"/>
  <c r="L104" i="1"/>
  <c r="M104" i="1"/>
  <c r="N104" i="1"/>
  <c r="O104" i="1"/>
  <c r="P104" i="1"/>
  <c r="Q104" i="1"/>
  <c r="R104" i="1"/>
  <c r="K93" i="1"/>
  <c r="L93" i="1"/>
  <c r="M93" i="1"/>
  <c r="N93" i="1"/>
  <c r="O93" i="1"/>
  <c r="P93" i="1"/>
  <c r="Q93" i="1"/>
  <c r="L13" i="1"/>
  <c r="K13" i="1"/>
  <c r="M13" i="1"/>
  <c r="O13" i="1"/>
  <c r="P13" i="1"/>
  <c r="Q13" i="1"/>
  <c r="N13" i="1"/>
  <c r="K95" i="1"/>
  <c r="M95" i="1"/>
  <c r="N95" i="1"/>
  <c r="O95" i="1"/>
  <c r="P95" i="1"/>
  <c r="Q95" i="1"/>
  <c r="L95" i="1"/>
  <c r="N94" i="1"/>
  <c r="K94" i="1"/>
  <c r="Q94" i="1"/>
  <c r="L94" i="1"/>
  <c r="M94" i="1"/>
  <c r="O94" i="1"/>
  <c r="P94" i="1"/>
  <c r="L117" i="1"/>
  <c r="K133" i="1"/>
  <c r="O133" i="1"/>
  <c r="K117" i="1"/>
  <c r="P117" i="1"/>
  <c r="P133" i="1"/>
  <c r="N133" i="1"/>
  <c r="O117" i="1"/>
  <c r="Q116" i="1"/>
  <c r="L116" i="1"/>
  <c r="R133" i="1"/>
  <c r="M133" i="1"/>
  <c r="R117" i="1"/>
  <c r="N117" i="1"/>
  <c r="O116" i="1"/>
  <c r="K116" i="1"/>
  <c r="M116" i="1"/>
  <c r="R116" i="1"/>
  <c r="P116" i="1"/>
  <c r="Q133" i="1"/>
  <c r="Q117" i="1"/>
  <c r="M117" i="1"/>
  <c r="N116" i="1"/>
  <c r="R95" i="1"/>
  <c r="P44" i="1"/>
  <c r="P45" i="1"/>
  <c r="N44" i="1"/>
  <c r="O45" i="1"/>
  <c r="M44" i="1"/>
  <c r="N45" i="1"/>
  <c r="L44" i="1"/>
  <c r="M45" i="1"/>
  <c r="K44" i="1"/>
  <c r="L45" i="1"/>
  <c r="Q45" i="1"/>
  <c r="R44" i="1"/>
  <c r="O44" i="1"/>
  <c r="G192" i="1" l="1"/>
  <c r="T4" i="1"/>
  <c r="T5" i="1"/>
  <c r="T6" i="1"/>
  <c r="T3" i="1"/>
  <c r="U3" i="1"/>
  <c r="F3" i="1" s="1"/>
  <c r="U34" i="1"/>
  <c r="F34" i="1" s="1"/>
  <c r="U35" i="1"/>
  <c r="F35" i="1" s="1"/>
  <c r="U36" i="1"/>
  <c r="F36" i="1" s="1"/>
  <c r="U37" i="1"/>
  <c r="F37" i="1" s="1"/>
  <c r="U38" i="1"/>
  <c r="F38" i="1" s="1"/>
  <c r="U39" i="1"/>
  <c r="F39" i="1" s="1"/>
  <c r="U33" i="1"/>
  <c r="F33" i="1" s="1"/>
  <c r="U27" i="1"/>
  <c r="F27" i="1" s="1"/>
  <c r="U26" i="1"/>
  <c r="F26" i="1" s="1"/>
  <c r="U25" i="1"/>
  <c r="F25" i="1" s="1"/>
  <c r="U24" i="1"/>
  <c r="F24" i="1" s="1"/>
  <c r="U23" i="1"/>
  <c r="F23" i="1" s="1"/>
  <c r="U13" i="1"/>
  <c r="F13" i="1" s="1"/>
  <c r="U6" i="1"/>
  <c r="F6" i="1" s="1"/>
  <c r="U5" i="1"/>
  <c r="F5" i="1" s="1"/>
  <c r="U4" i="1"/>
  <c r="F4" i="1" s="1"/>
  <c r="F133" i="1"/>
  <c r="F134" i="1"/>
  <c r="F135" i="1"/>
  <c r="F136" i="1"/>
  <c r="F137" i="1"/>
  <c r="F138" i="1"/>
  <c r="F143" i="1"/>
  <c r="F114" i="1"/>
  <c r="F115" i="1"/>
  <c r="F116" i="1"/>
  <c r="F117" i="1"/>
  <c r="F113" i="1"/>
  <c r="F164" i="1"/>
  <c r="F165" i="1"/>
  <c r="F166" i="1"/>
  <c r="F163" i="1"/>
  <c r="F174" i="1"/>
  <c r="F175" i="1"/>
  <c r="F176" i="1"/>
  <c r="F177" i="1"/>
  <c r="F178" i="1"/>
  <c r="F173" i="1"/>
  <c r="F154" i="1"/>
  <c r="F155" i="1"/>
  <c r="F156" i="1"/>
  <c r="F157" i="1"/>
  <c r="F158" i="1"/>
  <c r="F153" i="1"/>
  <c r="F94" i="1"/>
  <c r="F95" i="1"/>
  <c r="F103" i="1"/>
  <c r="F104" i="1"/>
  <c r="F93" i="1"/>
  <c r="F73" i="1"/>
  <c r="F64" i="1"/>
  <c r="F65" i="1"/>
  <c r="F66" i="1"/>
  <c r="F67" i="1"/>
  <c r="F68" i="1"/>
  <c r="F63" i="1"/>
  <c r="F44" i="1"/>
  <c r="F45" i="1"/>
  <c r="F43" i="1"/>
  <c r="A39" i="1"/>
  <c r="R1" i="1"/>
  <c r="Z24" i="1" s="1"/>
  <c r="Q1" i="1"/>
  <c r="Z23" i="1" s="1"/>
  <c r="P1" i="1"/>
  <c r="Z22" i="1" s="1"/>
  <c r="O1" i="1"/>
  <c r="Z21" i="1" s="1"/>
  <c r="N1" i="1"/>
  <c r="Z20" i="1" s="1"/>
  <c r="M1" i="1"/>
  <c r="Z19" i="1" s="1"/>
  <c r="L1" i="1"/>
  <c r="Z18" i="1" s="1"/>
  <c r="K1" i="1"/>
  <c r="Z17" i="1" s="1"/>
  <c r="J1" i="1"/>
  <c r="Z16" i="1" s="1"/>
  <c r="I1" i="1"/>
  <c r="Z15" i="1" s="1"/>
  <c r="H1" i="1"/>
  <c r="Z14" i="1" s="1"/>
  <c r="G1" i="1"/>
  <c r="Z13" i="1" s="1"/>
  <c r="A7" i="1"/>
  <c r="A6" i="1"/>
  <c r="A2" i="1"/>
  <c r="Z52" i="1" l="1"/>
  <c r="Z51" i="1"/>
  <c r="Z42" i="1"/>
  <c r="Z50" i="1"/>
  <c r="Z49" i="1"/>
  <c r="Z41" i="1"/>
  <c r="Z48" i="1"/>
  <c r="Z47" i="1"/>
  <c r="Z46" i="1"/>
  <c r="Z45" i="1"/>
  <c r="Z44" i="1"/>
  <c r="Z43" i="1"/>
  <c r="AB11" i="1"/>
  <c r="AB8" i="1" s="1"/>
  <c r="AB9" i="1" s="1"/>
  <c r="AA52" i="1"/>
  <c r="AA51" i="1"/>
  <c r="AA50" i="1"/>
  <c r="AA49" i="1"/>
  <c r="AA44" i="1"/>
  <c r="AA48" i="1"/>
  <c r="AA47" i="1"/>
  <c r="AA46" i="1"/>
  <c r="AA45" i="1"/>
  <c r="AA43" i="1"/>
  <c r="AA42" i="1"/>
  <c r="AA41" i="1"/>
  <c r="AA8" i="1"/>
  <c r="AB2" i="1"/>
  <c r="AB7" i="1" s="1"/>
  <c r="R5" i="1"/>
  <c r="O5" i="1"/>
  <c r="K5" i="1"/>
  <c r="Q5" i="1"/>
  <c r="P5" i="1"/>
  <c r="N5" i="1"/>
  <c r="M5" i="1"/>
  <c r="L5" i="1"/>
  <c r="R13" i="1"/>
  <c r="AA11" i="1" l="1"/>
  <c r="AB12" i="1"/>
  <c r="G187" i="1"/>
  <c r="G188" i="1" s="1"/>
  <c r="G183" i="1"/>
  <c r="AA2" i="1"/>
  <c r="B12" i="1" l="1"/>
  <c r="G185" i="1" s="1"/>
  <c r="R73" i="1"/>
  <c r="Q73" i="1"/>
  <c r="P73" i="1"/>
  <c r="O73" i="1"/>
  <c r="N73" i="1"/>
  <c r="M73" i="1"/>
  <c r="L73" i="1"/>
  <c r="AA13" i="1" l="1"/>
  <c r="H192" i="1" l="1"/>
  <c r="K45" i="1"/>
  <c r="K134" i="1" l="1"/>
  <c r="L134" i="1"/>
  <c r="M134" i="1"/>
  <c r="N134" i="1"/>
  <c r="O134" i="1"/>
  <c r="P134" i="1"/>
  <c r="Q134" i="1"/>
  <c r="K135" i="1"/>
  <c r="L135" i="1"/>
  <c r="M135" i="1"/>
  <c r="N135" i="1"/>
  <c r="O135" i="1"/>
  <c r="P135" i="1"/>
  <c r="Q135" i="1"/>
  <c r="K137" i="1"/>
  <c r="L137" i="1"/>
  <c r="M137" i="1"/>
  <c r="N137" i="1"/>
  <c r="O137" i="1"/>
  <c r="P137" i="1"/>
  <c r="Q137" i="1"/>
  <c r="K138" i="1"/>
  <c r="L138" i="1"/>
  <c r="M138" i="1"/>
  <c r="N138" i="1"/>
  <c r="O138" i="1"/>
  <c r="P138" i="1"/>
  <c r="Q138" i="1"/>
  <c r="R138" i="1"/>
  <c r="R137" i="1"/>
  <c r="R135" i="1"/>
  <c r="R134" i="1"/>
  <c r="K143" i="1"/>
  <c r="L143" i="1"/>
  <c r="M143" i="1"/>
  <c r="N143" i="1"/>
  <c r="O143" i="1"/>
  <c r="P143" i="1"/>
  <c r="Q143" i="1"/>
  <c r="R143" i="1"/>
  <c r="K113" i="1"/>
  <c r="L113" i="1"/>
  <c r="M113" i="1"/>
  <c r="N113" i="1"/>
  <c r="O113" i="1"/>
  <c r="P113" i="1"/>
  <c r="Q113" i="1"/>
  <c r="R113" i="1"/>
  <c r="K114" i="1"/>
  <c r="L114" i="1"/>
  <c r="M114" i="1"/>
  <c r="N114" i="1"/>
  <c r="O114" i="1"/>
  <c r="P114" i="1"/>
  <c r="Q114" i="1"/>
  <c r="R114" i="1"/>
  <c r="K115" i="1"/>
  <c r="L115" i="1"/>
  <c r="M115" i="1"/>
  <c r="N115" i="1"/>
  <c r="O115" i="1"/>
  <c r="P115" i="1"/>
  <c r="Q115" i="1"/>
  <c r="R115" i="1"/>
  <c r="R94" i="1"/>
  <c r="K73" i="1"/>
  <c r="H187" i="1"/>
  <c r="N34" i="1"/>
  <c r="M33" i="1"/>
  <c r="R24" i="1"/>
  <c r="M23" i="1"/>
  <c r="K4" i="1"/>
  <c r="L4" i="1"/>
  <c r="M4" i="1"/>
  <c r="N4" i="1"/>
  <c r="O4" i="1"/>
  <c r="P4" i="1"/>
  <c r="Q4" i="1"/>
  <c r="R4" i="1"/>
  <c r="K163" i="1"/>
  <c r="L163" i="1"/>
  <c r="M163" i="1"/>
  <c r="N163" i="1"/>
  <c r="O163" i="1"/>
  <c r="P163" i="1"/>
  <c r="Q163" i="1"/>
  <c r="K164" i="1"/>
  <c r="L164" i="1"/>
  <c r="M164" i="1"/>
  <c r="N164" i="1"/>
  <c r="O164" i="1"/>
  <c r="P164" i="1"/>
  <c r="Q164" i="1"/>
  <c r="K165" i="1"/>
  <c r="L165" i="1"/>
  <c r="M165" i="1"/>
  <c r="N165" i="1"/>
  <c r="O165" i="1"/>
  <c r="P165" i="1"/>
  <c r="Q165" i="1"/>
  <c r="K166" i="1"/>
  <c r="L166" i="1"/>
  <c r="M166" i="1"/>
  <c r="N166" i="1"/>
  <c r="O166" i="1"/>
  <c r="P166" i="1"/>
  <c r="Q166" i="1"/>
  <c r="R166" i="1"/>
  <c r="R165" i="1"/>
  <c r="R164" i="1"/>
  <c r="R163" i="1"/>
  <c r="I192" i="1" l="1"/>
  <c r="J192" i="1" s="1"/>
  <c r="K192" i="1" s="1"/>
  <c r="L192" i="1" s="1"/>
  <c r="M192" i="1" s="1"/>
  <c r="N192" i="1" s="1"/>
  <c r="O192" i="1" s="1"/>
  <c r="P192" i="1" s="1"/>
  <c r="Q192" i="1" s="1"/>
  <c r="R192" i="1" s="1"/>
  <c r="P43" i="1"/>
  <c r="N43" i="1"/>
  <c r="L43" i="1"/>
  <c r="O43" i="1"/>
  <c r="M43" i="1"/>
  <c r="K43" i="1"/>
  <c r="R43" i="1"/>
  <c r="Q43" i="1"/>
  <c r="L136" i="1" l="1"/>
  <c r="M136" i="1"/>
  <c r="N136" i="1"/>
  <c r="O136" i="1"/>
  <c r="P136" i="1"/>
  <c r="Q136" i="1"/>
  <c r="R136" i="1"/>
  <c r="K136" i="1"/>
  <c r="M6" i="1" l="1"/>
  <c r="R6" i="1"/>
  <c r="N6" i="1"/>
  <c r="P6" i="1"/>
  <c r="L6" i="1"/>
  <c r="O6" i="1"/>
  <c r="Q6" i="1"/>
  <c r="K6" i="1"/>
  <c r="R93" i="1" l="1"/>
  <c r="A29" i="1" l="1"/>
  <c r="K3" i="1" l="1"/>
  <c r="N3" i="1"/>
  <c r="L3" i="1"/>
  <c r="M3" i="1"/>
  <c r="R3" i="1"/>
  <c r="J183" i="1"/>
  <c r="B15" i="1" s="1"/>
  <c r="O3" i="1"/>
  <c r="P3" i="1"/>
  <c r="I187" i="1"/>
  <c r="Q3" i="1"/>
  <c r="J187" i="1" l="1"/>
  <c r="K187" i="1" s="1"/>
  <c r="L187" i="1" s="1"/>
  <c r="M187" i="1" s="1"/>
  <c r="N187" i="1" s="1"/>
  <c r="O187" i="1" s="1"/>
  <c r="P187" i="1" s="1"/>
  <c r="Q187" i="1" s="1"/>
  <c r="R187" i="1" s="1"/>
  <c r="K183" i="1"/>
  <c r="B16" i="1" s="1"/>
  <c r="M183" i="1"/>
  <c r="B18" i="1" s="1"/>
  <c r="O183" i="1"/>
  <c r="B20" i="1" s="1"/>
  <c r="Q183" i="1"/>
  <c r="B22" i="1" s="1"/>
  <c r="G193" i="1"/>
  <c r="A12" i="1"/>
  <c r="A13" i="1"/>
  <c r="A14" i="1"/>
  <c r="A15" i="1"/>
  <c r="A16" i="1"/>
  <c r="A17" i="1"/>
  <c r="A18" i="1"/>
  <c r="A19" i="1"/>
  <c r="A20" i="1"/>
  <c r="A21" i="1"/>
  <c r="A22" i="1"/>
  <c r="A23" i="1"/>
  <c r="A24" i="1"/>
  <c r="A25" i="1"/>
  <c r="A26" i="1"/>
  <c r="A27" i="1"/>
  <c r="A28" i="1"/>
  <c r="A30" i="1"/>
  <c r="A31" i="1"/>
  <c r="A32" i="1"/>
  <c r="A33" i="1"/>
  <c r="A34" i="1"/>
  <c r="A35" i="1"/>
  <c r="L183" i="1"/>
  <c r="B17" i="1" s="1"/>
  <c r="I183" i="1"/>
  <c r="B14" i="1" s="1"/>
  <c r="H183" i="1"/>
  <c r="B13" i="1" s="1"/>
  <c r="N183" i="1"/>
  <c r="B19" i="1" s="1"/>
  <c r="P183" i="1"/>
  <c r="B21" i="1" s="1"/>
  <c r="P188" i="1" l="1"/>
  <c r="J185" i="1"/>
  <c r="AA18" i="1"/>
  <c r="AA17" i="1"/>
  <c r="K185" i="1"/>
  <c r="AA14" i="1"/>
  <c r="L185" i="1"/>
  <c r="AA20" i="1"/>
  <c r="AA21" i="1"/>
  <c r="AA19" i="1"/>
  <c r="M185" i="1"/>
  <c r="AA15" i="1"/>
  <c r="O185" i="1"/>
  <c r="I185" i="1"/>
  <c r="AA16" i="1"/>
  <c r="N185" i="1"/>
  <c r="H185" i="1"/>
  <c r="AA7" i="1"/>
  <c r="R183" i="1"/>
  <c r="I193" i="1"/>
  <c r="AA9" i="1" l="1"/>
  <c r="B23" i="1"/>
  <c r="H193" i="1"/>
  <c r="H188" i="1"/>
  <c r="B40" i="1" l="1"/>
  <c r="J193" i="1"/>
  <c r="I188" i="1"/>
  <c r="AA12" i="1"/>
  <c r="K193" i="1"/>
  <c r="J188" i="1" l="1"/>
  <c r="L193" i="1"/>
  <c r="K188" i="1" l="1"/>
  <c r="M193" i="1"/>
  <c r="L188" i="1" l="1"/>
  <c r="N193" i="1"/>
  <c r="M188" i="1" l="1"/>
  <c r="O193" i="1"/>
  <c r="N188" i="1" l="1"/>
  <c r="P193" i="1"/>
  <c r="O188" i="1" l="1"/>
  <c r="R193" i="1"/>
  <c r="Q193" i="1"/>
  <c r="Q188" i="1" l="1"/>
  <c r="R188" i="1"/>
  <c r="Q185" i="1"/>
  <c r="AA22" i="1"/>
  <c r="AA23" i="1"/>
  <c r="AA24" i="1"/>
  <c r="R185" i="1"/>
  <c r="P185" i="1"/>
  <c r="B41" i="1"/>
  <c r="B43" i="1" s="1"/>
  <c r="AA25"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Alex Gallegos</author>
  </authors>
  <commentList>
    <comment ref="H2" authorId="0" shapeId="0" xr:uid="{3630DD7E-D1E1-4B1E-970E-270C517ED387}">
      <text>
        <r>
          <rPr>
            <b/>
            <sz val="9"/>
            <color indexed="81"/>
            <rFont val="Tahoma"/>
            <family val="2"/>
          </rPr>
          <t>Alex Gallegos:</t>
        </r>
        <r>
          <rPr>
            <sz val="9"/>
            <color indexed="81"/>
            <rFont val="Tahoma"/>
            <family val="2"/>
          </rPr>
          <t xml:space="preserve">
How much is your take-home pay, guaranteed, per check?</t>
        </r>
      </text>
    </comment>
    <comment ref="D4" authorId="0" shapeId="0" xr:uid="{7FBC38FA-2447-4593-B7DE-F6E98415D31E}">
      <text>
        <r>
          <rPr>
            <b/>
            <sz val="9"/>
            <color indexed="81"/>
            <rFont val="Tahoma"/>
            <family val="2"/>
          </rPr>
          <t>Alex Gallegos:</t>
        </r>
        <r>
          <rPr>
            <sz val="9"/>
            <color indexed="81"/>
            <rFont val="Tahoma"/>
            <family val="2"/>
          </rPr>
          <t xml:space="preserve">
Minimum balance that must be maintained in savings, if there is one.</t>
        </r>
      </text>
    </comment>
    <comment ref="D7" authorId="0" shapeId="0" xr:uid="{AA58D7C4-899D-4279-B6FE-FD431958CC9A}">
      <text>
        <r>
          <rPr>
            <b/>
            <sz val="9"/>
            <color indexed="81"/>
            <rFont val="Tahoma"/>
            <family val="2"/>
          </rPr>
          <t>Alex Gallegos:</t>
        </r>
        <r>
          <rPr>
            <sz val="9"/>
            <color indexed="81"/>
            <rFont val="Tahoma"/>
            <family val="2"/>
          </rPr>
          <t xml:space="preserve">
Minimum balance that must be maintained in savings, if there is one.</t>
        </r>
      </text>
    </comment>
    <comment ref="D10" authorId="0" shapeId="0" xr:uid="{0A821CB2-EBB9-4881-B864-0F11CDE90E1E}">
      <text>
        <r>
          <rPr>
            <b/>
            <sz val="9"/>
            <color indexed="81"/>
            <rFont val="Tahoma"/>
            <family val="2"/>
          </rPr>
          <t>Alex Gallegos:</t>
        </r>
        <r>
          <rPr>
            <sz val="9"/>
            <color indexed="81"/>
            <rFont val="Tahoma"/>
            <family val="2"/>
          </rPr>
          <t xml:space="preserve">
Minimum balance that must be maintained in savings, if there is one.</t>
        </r>
      </text>
    </comment>
    <comment ref="D13" authorId="0" shapeId="0" xr:uid="{B73A311B-DFF2-4A31-913B-154EAAADC6F0}">
      <text>
        <r>
          <rPr>
            <b/>
            <sz val="9"/>
            <color indexed="81"/>
            <rFont val="Tahoma"/>
            <family val="2"/>
          </rPr>
          <t>Alex Gallegos:</t>
        </r>
        <r>
          <rPr>
            <sz val="9"/>
            <color indexed="81"/>
            <rFont val="Tahoma"/>
            <family val="2"/>
          </rPr>
          <t xml:space="preserve">
Minimum balance that must be maintained in savings, if there is one.</t>
        </r>
      </text>
    </comment>
    <comment ref="AL14" authorId="0" shapeId="0" xr:uid="{77E90782-A37E-4896-99DE-628CD429592E}">
      <text>
        <r>
          <rPr>
            <b/>
            <sz val="9"/>
            <color indexed="81"/>
            <rFont val="Tahoma"/>
            <family val="2"/>
          </rPr>
          <t>Alex Gallegos:</t>
        </r>
        <r>
          <rPr>
            <sz val="9"/>
            <color indexed="81"/>
            <rFont val="Tahoma"/>
            <family val="2"/>
          </rPr>
          <t xml:space="preserve">
There's no such thing as a manual scheduled thing.
Go to bed, Socrates.</t>
        </r>
      </text>
    </comment>
    <comment ref="D17" authorId="0" shapeId="0" xr:uid="{4084DD9A-285B-494E-BB40-CDC030716C4A}">
      <text>
        <r>
          <rPr>
            <b/>
            <sz val="9"/>
            <color indexed="81"/>
            <rFont val="Tahoma"/>
            <family val="2"/>
          </rPr>
          <t>Alex Gallegos:</t>
        </r>
        <r>
          <rPr>
            <sz val="9"/>
            <color indexed="81"/>
            <rFont val="Tahoma"/>
            <family val="2"/>
          </rPr>
          <t xml:space="preserve">
Minimum balance that must be maintained in autobill, if there is one.</t>
        </r>
      </text>
    </comment>
    <comment ref="H18" authorId="0" shapeId="0" xr:uid="{96A4AD8B-70B8-477D-9FC3-9C40C13081E3}">
      <text>
        <r>
          <rPr>
            <b/>
            <sz val="9"/>
            <color indexed="81"/>
            <rFont val="Tahoma"/>
            <family val="2"/>
          </rPr>
          <t>Alex Gallegos:</t>
        </r>
        <r>
          <rPr>
            <sz val="9"/>
            <color indexed="81"/>
            <rFont val="Tahoma"/>
            <family val="2"/>
          </rPr>
          <t xml:space="preserve">
How much is your take-home pay, guaranteed, per check?
</t>
        </r>
      </text>
    </comment>
    <comment ref="D20" authorId="0" shapeId="0" xr:uid="{9EF86D38-C326-4E46-A33E-E494BF96A8F0}">
      <text>
        <r>
          <rPr>
            <b/>
            <sz val="9"/>
            <color indexed="81"/>
            <rFont val="Tahoma"/>
            <family val="2"/>
          </rPr>
          <t>Alex Gallegos:</t>
        </r>
        <r>
          <rPr>
            <sz val="9"/>
            <color indexed="81"/>
            <rFont val="Tahoma"/>
            <family val="2"/>
          </rPr>
          <t xml:space="preserve">
Minimum balance that must be maintained in expenses, if there is one.</t>
        </r>
      </text>
    </comment>
    <comment ref="D23" authorId="0" shapeId="0" xr:uid="{CFF0862B-5389-4721-944D-EEC00DAE6D5C}">
      <text>
        <r>
          <rPr>
            <b/>
            <sz val="9"/>
            <color indexed="81"/>
            <rFont val="Tahoma"/>
            <family val="2"/>
          </rPr>
          <t>Alex Gallegos:</t>
        </r>
        <r>
          <rPr>
            <sz val="9"/>
            <color indexed="81"/>
            <rFont val="Tahoma"/>
            <family val="2"/>
          </rPr>
          <t xml:space="preserve">
Minimum balance that must be maintained in expenses, if there is one.</t>
        </r>
      </text>
    </comment>
    <comment ref="D26" authorId="0" shapeId="0" xr:uid="{2A838CFF-7B4C-4E23-A63B-0450964008BB}">
      <text>
        <r>
          <rPr>
            <b/>
            <sz val="9"/>
            <color indexed="81"/>
            <rFont val="Tahoma"/>
            <family val="2"/>
          </rPr>
          <t>Alex Gallegos:</t>
        </r>
        <r>
          <rPr>
            <sz val="9"/>
            <color indexed="81"/>
            <rFont val="Tahoma"/>
            <family val="2"/>
          </rPr>
          <t xml:space="preserve">
Minimum balance that must be maintained in expenses, if there is one.</t>
        </r>
      </text>
    </comment>
    <comment ref="D29" authorId="0" shapeId="0" xr:uid="{1D3009DC-B07D-4F78-A6AE-8897A00D86EF}">
      <text>
        <r>
          <rPr>
            <b/>
            <sz val="9"/>
            <color indexed="81"/>
            <rFont val="Tahoma"/>
            <family val="2"/>
          </rPr>
          <t>Alex Gallegos:</t>
        </r>
        <r>
          <rPr>
            <sz val="9"/>
            <color indexed="81"/>
            <rFont val="Tahoma"/>
            <family val="2"/>
          </rPr>
          <t xml:space="preserve">
Minimum balance that must be maintained in expenses, if there is one.</t>
        </r>
      </text>
    </comment>
    <comment ref="D32" authorId="0" shapeId="0" xr:uid="{36EB483D-CA93-4D2B-8DF1-CEC9AFF9A071}">
      <text>
        <r>
          <rPr>
            <b/>
            <sz val="9"/>
            <color indexed="81"/>
            <rFont val="Tahoma"/>
            <family val="2"/>
          </rPr>
          <t>Alex Gallegos:</t>
        </r>
        <r>
          <rPr>
            <sz val="9"/>
            <color indexed="81"/>
            <rFont val="Tahoma"/>
            <family val="2"/>
          </rPr>
          <t xml:space="preserve">
Minimum balance that must be maintained in expenses, if there is one.</t>
        </r>
      </text>
    </comment>
    <comment ref="H34" authorId="0" shapeId="0" xr:uid="{5E9DDECF-FA3E-4E5A-8F5D-C9C39AC0CAE4}">
      <text>
        <r>
          <rPr>
            <b/>
            <sz val="9"/>
            <color indexed="81"/>
            <rFont val="Tahoma"/>
            <family val="2"/>
          </rPr>
          <t>Alex Gallegos:</t>
        </r>
        <r>
          <rPr>
            <sz val="9"/>
            <color indexed="81"/>
            <rFont val="Tahoma"/>
            <family val="2"/>
          </rPr>
          <t xml:space="preserve">
How much is your take-home pay, guaranteed, per check?</t>
        </r>
      </text>
    </comment>
    <comment ref="H50" authorId="0" shapeId="0" xr:uid="{A7D2E432-E338-4587-A93C-518BD1F2DDA4}">
      <text>
        <r>
          <rPr>
            <b/>
            <sz val="9"/>
            <color indexed="81"/>
            <rFont val="Tahoma"/>
            <family val="2"/>
          </rPr>
          <t>Alex Gallegos:</t>
        </r>
        <r>
          <rPr>
            <sz val="9"/>
            <color indexed="81"/>
            <rFont val="Tahoma"/>
            <family val="2"/>
          </rPr>
          <t xml:space="preserve">
How much is your take-home pay, guaranteed, per check?</t>
        </r>
      </text>
    </comment>
    <comment ref="H66" authorId="0" shapeId="0" xr:uid="{74118357-13AC-42AA-AA50-F34BAD51F6B8}">
      <text>
        <r>
          <rPr>
            <b/>
            <sz val="9"/>
            <color indexed="81"/>
            <rFont val="Tahoma"/>
            <family val="2"/>
          </rPr>
          <t>Alex Gallegos:</t>
        </r>
        <r>
          <rPr>
            <sz val="9"/>
            <color indexed="81"/>
            <rFont val="Tahoma"/>
            <family val="2"/>
          </rPr>
          <t xml:space="preserve">
How much is your take-home pay, guaranteed, per check?</t>
        </r>
      </text>
    </comment>
    <comment ref="H82" authorId="0" shapeId="0" xr:uid="{C4029443-DA9B-4685-97CF-8C0D8E83B729}">
      <text>
        <r>
          <rPr>
            <b/>
            <sz val="9"/>
            <color indexed="81"/>
            <rFont val="Tahoma"/>
            <family val="2"/>
          </rPr>
          <t>Alex Gallegos:</t>
        </r>
        <r>
          <rPr>
            <sz val="9"/>
            <color indexed="81"/>
            <rFont val="Tahoma"/>
            <family val="2"/>
          </rPr>
          <t xml:space="preserve">
How much is your take-home pay, guaranteed, per check?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Alex Gallegos</author>
  </authors>
  <commentList>
    <comment ref="AA1" authorId="0" shapeId="0" xr:uid="{F132F0F8-BBE1-4F63-BEBF-94F43A71E512}">
      <text>
        <r>
          <rPr>
            <b/>
            <sz val="9"/>
            <color indexed="81"/>
            <rFont val="Tahoma"/>
            <family val="2"/>
          </rPr>
          <t>Alex Gallegos:</t>
        </r>
        <r>
          <rPr>
            <sz val="9"/>
            <color indexed="81"/>
            <rFont val="Tahoma"/>
            <family val="2"/>
          </rPr>
          <t xml:space="preserve">
Set the Buffer Percentage on the Variables Tab. If "Use Buffer" dropdown is set to "No" in B36, the table and graph below will not show values based on the buffered amount either.</t>
        </r>
      </text>
    </comment>
    <comment ref="Z7" authorId="0" shapeId="0" xr:uid="{8128421B-24DE-4818-93B1-5AE6EB098AB1}">
      <text>
        <r>
          <rPr>
            <b/>
            <sz val="9"/>
            <color indexed="81"/>
            <rFont val="Tahoma"/>
            <family val="2"/>
          </rPr>
          <t>Alex Gallegos:</t>
        </r>
        <r>
          <rPr>
            <sz val="9"/>
            <color indexed="81"/>
            <rFont val="Tahoma"/>
            <family val="2"/>
          </rPr>
          <t xml:space="preserve">
Assuming every expense hits every month for safety, how much more do you need to make every month in order to be adding money to your net worth instead of losing it? Negative values are good on this line!</t>
        </r>
      </text>
    </comment>
    <comment ref="C36" authorId="0" shapeId="0" xr:uid="{A38AE3EA-69C2-4AC2-BC58-D9B03DA6A165}">
      <text>
        <r>
          <rPr>
            <b/>
            <sz val="9"/>
            <color indexed="81"/>
            <rFont val="Tahoma"/>
            <family val="2"/>
          </rPr>
          <t>Alex Gallegos:</t>
        </r>
        <r>
          <rPr>
            <sz val="9"/>
            <color indexed="81"/>
            <rFont val="Tahoma"/>
            <family val="2"/>
          </rPr>
          <t xml:space="preserve">
Pay periods remaining in the year. As checks hit the account, modify variables on the first tab, adding money to your account and removing future pay periods to balance.</t>
        </r>
      </text>
    </comment>
    <comment ref="Y40" authorId="0" shapeId="0" xr:uid="{95230D87-D62E-49AB-B8C2-60900D2657A9}">
      <text>
        <r>
          <rPr>
            <b/>
            <sz val="9"/>
            <color indexed="81"/>
            <rFont val="Tahoma"/>
            <family val="2"/>
          </rPr>
          <t>Alex Gallegos:</t>
        </r>
        <r>
          <rPr>
            <sz val="9"/>
            <color indexed="81"/>
            <rFont val="Tahoma"/>
            <family val="2"/>
          </rPr>
          <t xml:space="preserve">
This section tells you how much of an emergency fund you have built up. How many months of expenses (assuming every single expense hit every single month) would you have covered if you were out of work?</t>
        </r>
      </text>
    </comment>
    <comment ref="B43" authorId="0" shapeId="0" xr:uid="{98C6BAB9-C812-4E4C-B3C1-A594FA0AEE22}">
      <text>
        <r>
          <rPr>
            <b/>
            <sz val="9"/>
            <color indexed="81"/>
            <rFont val="Tahoma"/>
            <family val="2"/>
          </rPr>
          <t>Alex Gallegos:</t>
        </r>
        <r>
          <rPr>
            <sz val="9"/>
            <color indexed="81"/>
            <rFont val="Tahoma"/>
            <family val="2"/>
          </rPr>
          <t xml:space="preserve">
Amount of money that will be left over to roll into the next year, including the Safety Buffer or not depending on your selection from the dropdown. Set the buffer percentage on the Variables tab.</t>
        </r>
      </text>
    </comment>
    <comment ref="H188" authorId="0" shapeId="0" xr:uid="{935EE3B7-8CCC-4583-925B-C1D617733A64}">
      <text>
        <r>
          <rPr>
            <b/>
            <sz val="9"/>
            <color indexed="81"/>
            <rFont val="Tahoma"/>
            <family val="2"/>
          </rPr>
          <t>Alex Gallegos:</t>
        </r>
        <r>
          <rPr>
            <sz val="9"/>
            <color indexed="81"/>
            <rFont val="Tahoma"/>
            <family val="2"/>
          </rPr>
          <t xml:space="preserve">
On the last day of January, transfer this amount of money to the account that automatically is deducted from to ensure all your bills can be paid. If you do not have this much money… reevaluate your life choices.</t>
        </r>
      </text>
    </comment>
    <comment ref="H193" authorId="0" shapeId="0" xr:uid="{DB8B9B06-4094-4732-BED6-A791E88D961C}">
      <text>
        <r>
          <rPr>
            <b/>
            <sz val="9"/>
            <color indexed="81"/>
            <rFont val="Tahoma"/>
            <family val="2"/>
          </rPr>
          <t>Alex Gallegos:</t>
        </r>
        <r>
          <rPr>
            <sz val="9"/>
            <color indexed="81"/>
            <rFont val="Tahoma"/>
            <family val="2"/>
          </rPr>
          <t xml:space="preserve">
On the last day of January, transfer this amount of money to the account that you use to pay your manual deductions. If you do not have this much money… do fewer things in February to compensate.</t>
        </r>
      </text>
    </comment>
  </commentList>
</comments>
</file>

<file path=xl/sharedStrings.xml><?xml version="1.0" encoding="utf-8"?>
<sst xmlns="http://schemas.openxmlformats.org/spreadsheetml/2006/main" count="619" uniqueCount="324">
  <si>
    <t>Projected</t>
  </si>
  <si>
    <t>Buffered</t>
  </si>
  <si>
    <t>Not Buffered</t>
  </si>
  <si>
    <t>Minimum Salary</t>
  </si>
  <si>
    <t>Autobill</t>
  </si>
  <si>
    <t>20th</t>
  </si>
  <si>
    <t>Extra</t>
  </si>
  <si>
    <t>12th</t>
  </si>
  <si>
    <t>Buffer</t>
  </si>
  <si>
    <t>$ more per month to go</t>
  </si>
  <si>
    <t>Percent Complete:</t>
  </si>
  <si>
    <t>Percent To Go:</t>
  </si>
  <si>
    <t>Amazon Prime</t>
  </si>
  <si>
    <t>Oil Change</t>
  </si>
  <si>
    <t>15th</t>
  </si>
  <si>
    <t>Car Payment</t>
  </si>
  <si>
    <t>Netflix</t>
  </si>
  <si>
    <t>Entertainment</t>
  </si>
  <si>
    <t>Expense left</t>
  </si>
  <si>
    <t>Pay left</t>
  </si>
  <si>
    <t>Equity</t>
  </si>
  <si>
    <t>Result</t>
  </si>
  <si>
    <t>Any months ahead?</t>
  </si>
  <si>
    <t>Min Balance</t>
  </si>
  <si>
    <t>Groceries</t>
  </si>
  <si>
    <t>Water</t>
  </si>
  <si>
    <t>Internet</t>
  </si>
  <si>
    <t>TOTALS</t>
  </si>
  <si>
    <t>Month OK?</t>
  </si>
  <si>
    <t>"Autobill" Expense:</t>
  </si>
  <si>
    <t>Surplus/Defecit</t>
  </si>
  <si>
    <t>"Extra" Expense:</t>
  </si>
  <si>
    <t>Insurance</t>
  </si>
  <si>
    <t>Savings</t>
  </si>
  <si>
    <t>Remaining Checks</t>
  </si>
  <si>
    <t>Pay Per Check</t>
  </si>
  <si>
    <t>MANUAL PAYMENTS</t>
  </si>
  <si>
    <t>AUTOMATIC PAYMENTS</t>
  </si>
  <si>
    <t>Monthly Expenses</t>
  </si>
  <si>
    <t>Life Insurance</t>
  </si>
  <si>
    <t>Cell Phone</t>
  </si>
  <si>
    <t>Gasoline</t>
  </si>
  <si>
    <t>Recurring Annual</t>
  </si>
  <si>
    <t>Car and Driver Mag</t>
  </si>
  <si>
    <t>Car Registration</t>
  </si>
  <si>
    <t>Personal Loan</t>
  </si>
  <si>
    <t>DUE:</t>
  </si>
  <si>
    <t>Car Loan</t>
  </si>
  <si>
    <t>Dining Out</t>
  </si>
  <si>
    <t>Credit Card 5</t>
  </si>
  <si>
    <t>Credit Card 6</t>
  </si>
  <si>
    <t>Hulu</t>
  </si>
  <si>
    <t>Spotify</t>
  </si>
  <si>
    <t>Unplanned Expense</t>
  </si>
  <si>
    <t>Unplanned Deposit</t>
  </si>
  <si>
    <t>Loans</t>
  </si>
  <si>
    <t>Scheduled Deposits</t>
  </si>
  <si>
    <t>Other Subscriptions</t>
  </si>
  <si>
    <t>Office365</t>
  </si>
  <si>
    <t>Student Loan 2</t>
  </si>
  <si>
    <t>Student Loan 1</t>
  </si>
  <si>
    <t>Heating</t>
  </si>
  <si>
    <t>Electricity</t>
  </si>
  <si>
    <t>Household Expenses</t>
  </si>
  <si>
    <t>Housing</t>
  </si>
  <si>
    <t>Expenses</t>
  </si>
  <si>
    <t>Calendar Year</t>
  </si>
  <si>
    <t>Family half of Verizon</t>
  </si>
  <si>
    <t>Income Stream #1</t>
  </si>
  <si>
    <t>Income Stream #2</t>
  </si>
  <si>
    <t>Income Stream #3</t>
  </si>
  <si>
    <t>Income Stream #4</t>
  </si>
  <si>
    <t>Income Stream #5</t>
  </si>
  <si>
    <t>Income Stream #6</t>
  </si>
  <si>
    <t>Periods/Year:</t>
  </si>
  <si>
    <t xml:space="preserve">Current Yearly Income </t>
  </si>
  <si>
    <t>Etc 1</t>
  </si>
  <si>
    <t>Etc 2</t>
  </si>
  <si>
    <t>Etc 3</t>
  </si>
  <si>
    <t>Etc 4</t>
  </si>
  <si>
    <t>Etc 5</t>
  </si>
  <si>
    <t>Etc 6</t>
  </si>
  <si>
    <t>Etc 7</t>
  </si>
  <si>
    <t>Etc 8</t>
  </si>
  <si>
    <t>Etc 9</t>
  </si>
  <si>
    <t>Credit Card 7</t>
  </si>
  <si>
    <t>Credit Card 8</t>
  </si>
  <si>
    <t>Credit Card 9</t>
  </si>
  <si>
    <t>Credit Card 10</t>
  </si>
  <si>
    <t>Auto ME 3</t>
  </si>
  <si>
    <t>Auto ME 4</t>
  </si>
  <si>
    <t>Auto ME 5</t>
  </si>
  <si>
    <t>Auto ME 6</t>
  </si>
  <si>
    <t>Auto ME 7</t>
  </si>
  <si>
    <t>Auto ME 8</t>
  </si>
  <si>
    <t>Auto ME 9</t>
  </si>
  <si>
    <t>Auto ME 10</t>
  </si>
  <si>
    <t>Manual ME 2</t>
  </si>
  <si>
    <t>Manual ME 3</t>
  </si>
  <si>
    <t>Manual ME 4</t>
  </si>
  <si>
    <t>Manual ME 5</t>
  </si>
  <si>
    <t>Manual ME 6</t>
  </si>
  <si>
    <t>Manual ME 7</t>
  </si>
  <si>
    <t>Manual ME 8</t>
  </si>
  <si>
    <t>Manual ME 9</t>
  </si>
  <si>
    <t>Manual ME 10</t>
  </si>
  <si>
    <t>Auto RA 3</t>
  </si>
  <si>
    <t>Auto RA 4</t>
  </si>
  <si>
    <t>Auto RA 5</t>
  </si>
  <si>
    <t>Auto RA 6</t>
  </si>
  <si>
    <t>Auto RA 7</t>
  </si>
  <si>
    <t>Auto RA 8</t>
  </si>
  <si>
    <t>Auto RA 9</t>
  </si>
  <si>
    <t>Auto RA 10</t>
  </si>
  <si>
    <t>Manual RA 3</t>
  </si>
  <si>
    <t>Manual RA 4</t>
  </si>
  <si>
    <t>Manual RA 5</t>
  </si>
  <si>
    <t>Manual RA 6</t>
  </si>
  <si>
    <t>Manual RA 7</t>
  </si>
  <si>
    <t>Manual RA 8</t>
  </si>
  <si>
    <t>Manual RA 9</t>
  </si>
  <si>
    <t>Manual RA 10</t>
  </si>
  <si>
    <t>Auto Loan 4</t>
  </si>
  <si>
    <t>Auto Loan 5</t>
  </si>
  <si>
    <t>Auto Loan 6</t>
  </si>
  <si>
    <t>Auto Loan 7</t>
  </si>
  <si>
    <t>Auto Loan 8</t>
  </si>
  <si>
    <t>Auto Loan 9</t>
  </si>
  <si>
    <t>Auto Loan 10</t>
  </si>
  <si>
    <t>Manual Loan 1</t>
  </si>
  <si>
    <t>Manual Loan 2</t>
  </si>
  <si>
    <t>Manual Loan 3</t>
  </si>
  <si>
    <t>Manual Loan 4</t>
  </si>
  <si>
    <t>Manual Loan 5</t>
  </si>
  <si>
    <t>Manual Loan 6</t>
  </si>
  <si>
    <t>Manual Loan 7</t>
  </si>
  <si>
    <t>Manual Loan 8</t>
  </si>
  <si>
    <t>Manual Loan 9</t>
  </si>
  <si>
    <t>Manual Loan 10</t>
  </si>
  <si>
    <t>Auto Car 2</t>
  </si>
  <si>
    <t>Auto Car 3</t>
  </si>
  <si>
    <t>Auto Car 4</t>
  </si>
  <si>
    <t>Auto Car 5</t>
  </si>
  <si>
    <t>Auto Car 6</t>
  </si>
  <si>
    <t>Auto Car 7</t>
  </si>
  <si>
    <t>Auto Car 8</t>
  </si>
  <si>
    <t>Auto Car 9</t>
  </si>
  <si>
    <t>Auto Car 10</t>
  </si>
  <si>
    <t>Manual Car 1</t>
  </si>
  <si>
    <t>Manual Car 2</t>
  </si>
  <si>
    <t>Manual Car 3</t>
  </si>
  <si>
    <t>Manual Car 4</t>
  </si>
  <si>
    <t>Manual Car 5</t>
  </si>
  <si>
    <t>Manual Car 6</t>
  </si>
  <si>
    <t>Manual Car 7</t>
  </si>
  <si>
    <t>Manual Car 8</t>
  </si>
  <si>
    <t>Manual Car 9</t>
  </si>
  <si>
    <t>Manual Car 10</t>
  </si>
  <si>
    <t>Auto E 4</t>
  </si>
  <si>
    <t>Auto E 5</t>
  </si>
  <si>
    <t>Auto E 6</t>
  </si>
  <si>
    <t>Auto E 7</t>
  </si>
  <si>
    <t>Manual E 3</t>
  </si>
  <si>
    <t>Manual E 4</t>
  </si>
  <si>
    <t>Manual E 5</t>
  </si>
  <si>
    <t>Manual E 6</t>
  </si>
  <si>
    <t>Manual E 7</t>
  </si>
  <si>
    <t>Manual E 8</t>
  </si>
  <si>
    <t>Manual E 9</t>
  </si>
  <si>
    <t>Manual E 10</t>
  </si>
  <si>
    <t>Auto E 8</t>
  </si>
  <si>
    <t>Auto E 9</t>
  </si>
  <si>
    <t>Auto E 10</t>
  </si>
  <si>
    <t>Auto Sub 2</t>
  </si>
  <si>
    <t>Auto Sub 3</t>
  </si>
  <si>
    <t>Auto Sub 4</t>
  </si>
  <si>
    <t>Auto Sub 5</t>
  </si>
  <si>
    <t>Auto Sub 6</t>
  </si>
  <si>
    <t>Auto Sub 7</t>
  </si>
  <si>
    <t>Auto Sub 8</t>
  </si>
  <si>
    <t>Auto Sub 9</t>
  </si>
  <si>
    <t>Auto Sub 10</t>
  </si>
  <si>
    <t>Manual Sub 1</t>
  </si>
  <si>
    <t>Manual Sub 2</t>
  </si>
  <si>
    <t>Manual Sub 3</t>
  </si>
  <si>
    <t>Manual Sub 4</t>
  </si>
  <si>
    <t>Manual Sub 5</t>
  </si>
  <si>
    <t>Manual Sub 6</t>
  </si>
  <si>
    <t>Manual Sub 7</t>
  </si>
  <si>
    <t>Manual Sub 8</t>
  </si>
  <si>
    <t>Manual Sub 9</t>
  </si>
  <si>
    <t>Manual Sub 10</t>
  </si>
  <si>
    <t>Auto HH 7</t>
  </si>
  <si>
    <t>Auto HH 8</t>
  </si>
  <si>
    <t>Auto HH 9</t>
  </si>
  <si>
    <t>Auto HH 10</t>
  </si>
  <si>
    <t>Manual HH 2</t>
  </si>
  <si>
    <t>Manual HH 3</t>
  </si>
  <si>
    <t>Manual HH 4</t>
  </si>
  <si>
    <t>Manual HH 5</t>
  </si>
  <si>
    <t>Manual HH 6</t>
  </si>
  <si>
    <t>Manual HH 7</t>
  </si>
  <si>
    <t>Manual HH 8</t>
  </si>
  <si>
    <t>Manual HH 9</t>
  </si>
  <si>
    <t>Manual HH 10</t>
  </si>
  <si>
    <t>Enter in grid (-)</t>
  </si>
  <si>
    <t>Enter in grid (+)</t>
  </si>
  <si>
    <t>Savings 2</t>
  </si>
  <si>
    <t>Savings 3</t>
  </si>
  <si>
    <t>Checking 3</t>
  </si>
  <si>
    <t>Checking 4</t>
  </si>
  <si>
    <t>Checking 5</t>
  </si>
  <si>
    <t>Checking 6</t>
  </si>
  <si>
    <t>Average 2-wk Pay Period</t>
  </si>
  <si>
    <t>Savings Accounts</t>
  </si>
  <si>
    <t>ACCOUNT BALANCES</t>
  </si>
  <si>
    <t>SETTINGS</t>
  </si>
  <si>
    <t>Safety Buffer</t>
  </si>
  <si>
    <t>Required Pay per 2-wk Period</t>
  </si>
  <si>
    <t>Deficit (-number = + cashflow!)</t>
  </si>
  <si>
    <t>Use Buffer?</t>
  </si>
  <si>
    <t>&lt;- Cash On Hand</t>
  </si>
  <si>
    <t>Checking Accounts</t>
  </si>
  <si>
    <t>Savings 4</t>
  </si>
  <si>
    <t>Enter the % of your "safety buffer" here. This safety net can automatically added to your calculations of your income to allow breathing room to your projections on the Monthly Rundown if you want. Recommended.
If you decide not to use the buffer, set the dropdown to "No" under the income/expense summary on the monthly rundown - you don't have to change this to 0%.</t>
  </si>
  <si>
    <t>Average Monthly Intake</t>
  </si>
  <si>
    <t>.</t>
  </si>
  <si>
    <t>Show All Rows</t>
  </si>
  <si>
    <t>Spent</t>
  </si>
  <si>
    <t>Excursions</t>
  </si>
  <si>
    <t>Spending Allowance</t>
  </si>
  <si>
    <t>Souvenirs</t>
  </si>
  <si>
    <t>Airport Parking</t>
  </si>
  <si>
    <t>Return Trip Meals</t>
  </si>
  <si>
    <t>Day 7 Meals</t>
  </si>
  <si>
    <t>Day 6 Meals</t>
  </si>
  <si>
    <t>Day 5 Meals</t>
  </si>
  <si>
    <t>Day 4 Meals</t>
  </si>
  <si>
    <t>Day 3 Meals</t>
  </si>
  <si>
    <t>Day 2 Meals</t>
  </si>
  <si>
    <t>Day 1 Meals</t>
  </si>
  <si>
    <t>Travel Day Meals</t>
  </si>
  <si>
    <t>Rental Car</t>
  </si>
  <si>
    <t>Hotel</t>
  </si>
  <si>
    <t>Flight</t>
  </si>
  <si>
    <t>Charge</t>
  </si>
  <si>
    <t>Budgeted</t>
  </si>
  <si>
    <t>Credit Cards</t>
  </si>
  <si>
    <t>Deposits</t>
  </si>
  <si>
    <t>Due</t>
  </si>
  <si>
    <t>7th</t>
  </si>
  <si>
    <t>CREDIT CARD ACCOUNTS</t>
  </si>
  <si>
    <t>Enter Card Names</t>
  </si>
  <si>
    <t>1st</t>
  </si>
  <si>
    <t>Arrives</t>
  </si>
  <si>
    <t>No</t>
  </si>
  <si>
    <t>Other</t>
  </si>
  <si>
    <t>Payoff Date and Amt, If Carrying:</t>
  </si>
  <si>
    <t>Cumulative Interest</t>
  </si>
  <si>
    <t>Ending Balance</t>
  </si>
  <si>
    <t>Interest</t>
  </si>
  <si>
    <t>Principal</t>
  </si>
  <si>
    <t>Total Payment</t>
  </si>
  <si>
    <t>Extra Payment</t>
  </si>
  <si>
    <t>Scheduled Payment</t>
  </si>
  <si>
    <t>Beginning Balance</t>
  </si>
  <si>
    <t>Payment Date</t>
  </si>
  <si>
    <t>Pmt. No.</t>
  </si>
  <si>
    <t>Lender name:</t>
  </si>
  <si>
    <t>Optional extra payments</t>
  </si>
  <si>
    <t>Total interest</t>
  </si>
  <si>
    <t>Start date of loan</t>
  </si>
  <si>
    <t>Total early payments</t>
  </si>
  <si>
    <t>Number of payments per year</t>
  </si>
  <si>
    <t>Actual number of payments</t>
  </si>
  <si>
    <t>Loan period in years</t>
  </si>
  <si>
    <t>Scheduled number of payments</t>
  </si>
  <si>
    <t>Annual interest rate</t>
  </si>
  <si>
    <t>Scheduled payment</t>
  </si>
  <si>
    <t>Loan amount</t>
  </si>
  <si>
    <t>Loan summary</t>
  </si>
  <si>
    <t>Enter values</t>
  </si>
  <si>
    <t>Loan Amortization Schedule</t>
  </si>
  <si>
    <t>Reference only: No calculations performed based on these values!</t>
  </si>
  <si>
    <r>
      <t xml:space="preserve">Hello!
Thanks for checking out my budgeting spreadsheet. I've been slowly building up this Frankenstein's Monster of a spreadsheet ever since I was in college and I realized that just knowing how much money I had allocated for certain expenses wasn't enough - I also needed a rough idea of </t>
    </r>
    <r>
      <rPr>
        <i/>
        <sz val="10"/>
        <rFont val="Arial"/>
        <family val="2"/>
      </rPr>
      <t xml:space="preserve">when </t>
    </r>
    <r>
      <rPr>
        <sz val="10"/>
        <rFont val="Arial"/>
        <family val="2"/>
      </rPr>
      <t xml:space="preserve">money was coming in and when it was going out in order to know if things were A-OK, or if it was time to start selling bodily fluids. Whether you're just starting your budgeting journey or you've been doing it for years and just want some ideas, hopefully you find it useful. If you don't... well, it was free. You get what you pay for, right?
Hey, speaking of getting what you pay for, it's now been a long time since I sold </t>
    </r>
    <r>
      <rPr>
        <i/>
        <sz val="10"/>
        <rFont val="Arial"/>
        <family val="2"/>
      </rPr>
      <t xml:space="preserve">any </t>
    </r>
    <r>
      <rPr>
        <sz val="10"/>
        <rFont val="Arial"/>
        <family val="2"/>
      </rPr>
      <t>bodily fluids, thankfully enough. I'm now in a position to give them away free of charge. (Note to self: That sounded a lot weirder than being a blood donor is supposed to sound creepy, DO NOT publish the spreadsheet without changing this section!!!) This isn't anywhere close to my primary line of work, nor do I want it to be, which is why I'm not charging for it. But, if it made your life better and you decide you want to toss a couple monetary units in my direction, I'm not going to say "No" now am I?</t>
    </r>
  </si>
  <si>
    <t>Happy Budgeting!</t>
  </si>
  <si>
    <t>Variables Tab</t>
  </si>
  <si>
    <t>Sheetwide Variables</t>
  </si>
  <si>
    <t>Introduction</t>
  </si>
  <si>
    <t>Visa</t>
  </si>
  <si>
    <t>Discover</t>
  </si>
  <si>
    <t>AmEx</t>
  </si>
  <si>
    <t>Chase</t>
  </si>
  <si>
    <t>3rd</t>
  </si>
  <si>
    <t>X</t>
  </si>
  <si>
    <t>LINKY1</t>
  </si>
  <si>
    <t>LINKY2</t>
  </si>
  <si>
    <t>Oh, and one last thing… if you prefer to get your instructions through a video demonstration (which I honestly recommend anyway, since otherwise you're just taking a stab in the dark at whether your brain works the same way mine does or not), you can do that right here:</t>
  </si>
  <si>
    <t>Income Streams</t>
  </si>
  <si>
    <t>Account Balances</t>
  </si>
  <si>
    <t>Set the current year and the "Safety Buffer" in the first column. The sheet takes all your expected paychecks and all your expected expenses for the year and calculates two values for you - one is the absolute amount of money that you'll have left over at the end of the year (hopefully it's a positive number!) and the other is the same number but with an artifical "Safety Net" imposed. You don't have to use it - you can set it to 0% if you want, or you can make it more aggressive. Use 25%. Use 50% if you want to get crazy. This can help lay the foundation for an emergency fund or just give a little breathing room in the budget. Make the switch with the dropdown on the Monthly Rundown sheet:</t>
  </si>
  <si>
    <t>For each Income Stream (up to six), enter:
1. The Guaranteed pay amount per check. If you might make more (like in tips), don't enter that - a budget should be built on guarantees.
2. The number of checks you will get in a year. This will vary depending on if you are paid weekly, bi-weekly, etc.
3. Enter the number of pay periods per month. If a month has already passed, like January (3) then put a 0 there - the money is already in checking/savings, or spent. For future months (4), put the number of checks for each month. Some months may have more pay periods.
In the dummy data in the sheet right now, January through April are over, and we are in the month of May.</t>
  </si>
  <si>
    <t>Credit Card Accounts</t>
  </si>
  <si>
    <t>Credit Cards balances are entered into the Monthly Rundown, unlike other expenses. But, you can put the names of the accounts in this section and, if you want to track a large balance that will be paid off over multiple months, there is a place to make note of it here.</t>
  </si>
  <si>
    <t>Monthly Rundown Tab</t>
  </si>
  <si>
    <t>Year-At-A-Glance</t>
  </si>
  <si>
    <t>All your Account Balances, total expenses for every month, and total income for every month, all along the left hand side of the sheet.</t>
  </si>
  <si>
    <t>Expenses Grid</t>
  </si>
  <si>
    <t>All the expenses from the Variables tab are here. As an expense is paid and its impact felt in one of the Account Balances, clear that cell from the Expense Grid (for the annual expenses, mark them with an X to clear them so you remember what month the expense will fall on when you reset the sheet for the following year). Cells in the expense grid are equal to the value in Column T, which in turn is equal to the value in the Variables tab for that expense. So, to reset for a new year, just set the cells for each row back to Column T for their rows.</t>
  </si>
  <si>
    <t>Expenses are broken up into different categories, and within each category are split into Automatic Payments (payments that will deduct from an account without any action on your part, be paid by the "Bill Pay" function of your bank, or charge to a credit card to be paid later) and Manual Payments (Payments that you are responsible for manually logging into a payment processing portal or mailing a check in order to pay. The "Scheduled Deposit" section is for money that isn't your salary, but that you receive regularly. For example, if you pay for your cell phone bill and then a family member pays half of it every month, that is a Scheduled Deposit.</t>
  </si>
  <si>
    <t>There are two exceptions to this. One is the Credit Cards section. These cells should be typed into directly with the amount on each card. The assumption is that the cards will be used and then paid in full each month but if you are carrying a balance, that can be accounted for as well - see line 66 in the sample data.</t>
  </si>
  <si>
    <t>The other exceptions are "Unplanned Expense" and "Unplanned Deposit" which should also be typed into directly - expense with negative numbers, and deposit with positive ones. This is the place to record an unplanned car repair or a check from a neighbor that you haven't cashed yet.</t>
  </si>
  <si>
    <t>&lt;- Year End</t>
  </si>
  <si>
    <t>Salary:Expense Analysis</t>
  </si>
  <si>
    <t>Month-To-Month Analysis</t>
  </si>
  <si>
    <t>Year Trend Graph</t>
  </si>
  <si>
    <t>Months Ahead Tracker</t>
  </si>
  <si>
    <t>The grid on the right will give a summary of the minimum salary you would need to make (with and without the Safety Buffer you specified) in order to have more money coming in than going out. Negative "per month to go" means you don't need more money per month. Same for a negative "Percent To Go" - this milestone is already met. There's some additional safety here - these calculations assume every expense hits every month, even though some are probably annual.</t>
  </si>
  <si>
    <t>Will you have too much month at the end of the money? This shows the expected cash on hand balance of your accounts at the end of each month. The highest months are highlighted green. The lowest months are highlighted orange. There's some additional safety here - these calculations assume every expense hits every month, even though some are probably annual.</t>
  </si>
  <si>
    <t>Is your net worth increasing or decreasing? Month-to-month end values are plotted along with a trendline to show if, overall, you are gaining or losing money for the year. There's some additional safety here - these calculations assume every expense hits every month, even though some are probably annual.</t>
  </si>
  <si>
    <t>How much of an emergency fund have you managed to put together? Are you living paycheck to paycheck, or are you paying your expenses with money you made one month ago? Or two? Or more? The more months of expenses you have in reserve, the more cells say "YES", along with the amount of expense that many months represents. There's some additional safety here - these calculations assume every expense hits every month, even though some are probably annual.</t>
  </si>
  <si>
    <t>Enter the Savings Accounts (up to four) and Checking Accounts (up to six) in these fields. Change the account nickname if it helps. Also, the Monthly Rundown assumes you have two checking accounts - one for Automatic Withdrawl payments, and one from which to pay everything else. This is a system I use. You don't have to use it but with the number of financial institution that offer Free Checking these days, I highly recommend it. It makes it a lot easier to keep these two things completely separate (at least, I think it does). See the next column for details on how this works.</t>
  </si>
  <si>
    <t>Autobill and Expense Checking Accounts</t>
  </si>
  <si>
    <t>You may or may not choose to use the two checking account system that I have put into place - you certainly don't have to. But, if you do decide to do so, then there's a tool at the bottom of the Monthly Rundown that will tell you how much to transfer into each account at the start of each month so you can pay all your expenses.
This section shows how much money needs to be transferred into each of these two accounts or if there is a surplus. In the screenshot above (as with all the dummy data in the spreadsheet at the time you downloaded it), January through April are finished, and we are beginning May. The Autobill account is short by $72.00 - if $72.00 is not moved to that account, then at some point, money will be automatically deducted from that account this month, and it will dip to a negative balance. On the other hand, the Expense account doesn't need any money - in fact, it has more than is necessary. It's got $180 extra dollars in it. So we could either transfer $72 from that account into the Autobill account, or transfer money from a savings account. Either way is fine.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</si>
</sst>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8" formatCode="&quot;$&quot;#,##0.00_);[Red]\(&quot;$&quot;#,##0.00\)"/>
    <numFmt numFmtId="44" formatCode="_(&quot;$&quot;* #,##0.00_);_(&quot;$&quot;* \(#,##0.00\);_(&quot;$&quot;* &quot;-&quot;??_);_(@_)"/>
    <numFmt numFmtId="43" formatCode="_(* #,##0.00_);_(* \(#,##0.00\);_(* &quot;-&quot;??_);_(@_)"/>
    <numFmt numFmtId="164" formatCode="_(* #,##0_);_(* \(#,##0\);_(* &quot;-&quot;??_);_(@_)"/>
    <numFmt numFmtId="165" formatCode="_([$$-409]* #,##0.00_);_([$$-409]* \(#,##0.00\);_([$$-409]* &quot;-&quot;??_);_(@_)"/>
    <numFmt numFmtId="166" formatCode="m/d;@"/>
    <numFmt numFmtId="167" formatCode="&quot;$&quot;#,##0.00"/>
    <numFmt numFmtId="168" formatCode="0.000%"/>
    <numFmt numFmtId="169" formatCode="0_)"/>
    <numFmt numFmtId="170" formatCode="0.00?%_)"/>
  </numFmts>
  <fonts count="35" x14ac:knownFonts="1">
    <font>
      <sz val="10"/>
      <name val="Arial"/>
    </font>
    <font>
      <sz val="11"/>
      <color theme="1"/>
      <name val="Calibri"/>
      <family val="2"/>
      <scheme val="minor"/>
    </font>
    <font>
      <b/>
      <sz val="10"/>
      <name val="Arial"/>
      <family val="2"/>
    </font>
    <font>
      <sz val="10"/>
      <name val="Arial"/>
      <family val="2"/>
    </font>
    <font>
      <sz val="10"/>
      <color theme="0"/>
      <name val="Arial"/>
      <family val="2"/>
    </font>
    <font>
      <sz val="10"/>
      <color rgb="FFFF0000"/>
      <name val="Arial"/>
      <family val="2"/>
    </font>
    <font>
      <sz val="10"/>
      <name val="Arial"/>
      <family val="2"/>
    </font>
    <font>
      <sz val="10"/>
      <name val="Arial"/>
      <family val="2"/>
    </font>
    <font>
      <b/>
      <sz val="10"/>
      <name val="Wingdings 3"/>
      <family val="1"/>
      <charset val="2"/>
    </font>
    <font>
      <sz val="10"/>
      <color theme="0" tint="-0.14999847407452621"/>
      <name val="Arial"/>
      <family val="2"/>
    </font>
    <font>
      <sz val="10"/>
      <color indexed="9"/>
      <name val="Arial"/>
      <family val="2"/>
    </font>
    <font>
      <sz val="8"/>
      <name val="Arial"/>
      <family val="2"/>
    </font>
    <font>
      <sz val="10"/>
      <color rgb="FF00B0F0"/>
      <name val="Arial"/>
      <family val="2"/>
    </font>
    <font>
      <i/>
      <sz val="10"/>
      <color rgb="FF00B0F0"/>
      <name val="Arial"/>
      <family val="2"/>
    </font>
    <font>
      <sz val="10"/>
      <color theme="1"/>
      <name val="Arial"/>
      <family val="2"/>
    </font>
    <font>
      <sz val="8"/>
      <name val="Arial"/>
      <family val="2"/>
    </font>
    <font>
      <b/>
      <sz val="10"/>
      <color theme="1"/>
      <name val="Arial"/>
      <family val="2"/>
    </font>
    <font>
      <sz val="9"/>
      <color indexed="81"/>
      <name val="Tahoma"/>
      <family val="2"/>
    </font>
    <font>
      <b/>
      <sz val="9"/>
      <color indexed="81"/>
      <name val="Tahoma"/>
      <family val="2"/>
    </font>
    <font>
      <sz val="10"/>
      <name val="Arial"/>
      <family val="2"/>
    </font>
    <font>
      <sz val="10"/>
      <name val="Arial"/>
      <family val="2"/>
    </font>
    <font>
      <b/>
      <sz val="15"/>
      <color theme="3"/>
      <name val="Calibri"/>
      <family val="2"/>
      <scheme val="minor"/>
    </font>
    <font>
      <b/>
      <sz val="13"/>
      <color theme="3"/>
      <name val="Calibri"/>
      <family val="2"/>
      <scheme val="minor"/>
    </font>
    <font>
      <sz val="10"/>
      <name val="Calibri"/>
      <family val="1"/>
      <scheme val="minor"/>
    </font>
    <font>
      <sz val="10"/>
      <color indexed="23"/>
      <name val="Calibri"/>
      <family val="1"/>
      <scheme val="minor"/>
    </font>
    <font>
      <sz val="11"/>
      <color theme="1"/>
      <name val="Agency FB"/>
      <family val="2"/>
    </font>
    <font>
      <sz val="11"/>
      <color theme="1"/>
      <name val="Calibri"/>
      <family val="1"/>
      <scheme val="minor"/>
    </font>
    <font>
      <b/>
      <sz val="10"/>
      <color theme="1"/>
      <name val="Calibri"/>
      <family val="1"/>
      <scheme val="minor"/>
    </font>
    <font>
      <b/>
      <sz val="10"/>
      <name val="Calibri"/>
      <family val="1"/>
      <scheme val="minor"/>
    </font>
    <font>
      <sz val="11"/>
      <color rgb="FF3F3F76"/>
      <name val="Agency FB"/>
      <family val="2"/>
    </font>
    <font>
      <sz val="10"/>
      <color rgb="FF3F3F76"/>
      <name val="Calibri"/>
      <family val="1"/>
      <scheme val="minor"/>
    </font>
    <font>
      <b/>
      <sz val="11"/>
      <color rgb="FFFA7D00"/>
      <name val="Agency FB"/>
      <family val="2"/>
    </font>
    <font>
      <b/>
      <sz val="10"/>
      <color rgb="FFFA7D00"/>
      <name val="Calibri"/>
      <family val="1"/>
      <scheme val="minor"/>
    </font>
    <font>
      <b/>
      <sz val="18"/>
      <name val="Cambria"/>
      <family val="2"/>
      <scheme val="major"/>
    </font>
    <font>
      <i/>
      <sz val="10"/>
      <name val="Arial"/>
      <family val="2"/>
    </font>
  </fonts>
  <fills count="30">
    <fill>
      <patternFill patternType="none"/>
    </fill>
    <fill>
      <patternFill patternType="gray125"/>
    </fill>
    <fill>
      <patternFill patternType="solid">
        <fgColor indexed="13"/>
        <bgColor indexed="64"/>
      </patternFill>
    </fill>
    <fill>
      <patternFill patternType="solid">
        <fgColor indexed="10"/>
        <bgColor indexed="64"/>
      </patternFill>
    </fill>
    <fill>
      <patternFill patternType="solid">
        <fgColor indexed="22"/>
        <bgColor indexed="64"/>
      </patternFill>
    </fill>
    <fill>
      <patternFill patternType="solid">
        <fgColor indexed="44"/>
        <bgColor indexed="64"/>
      </patternFill>
    </fill>
    <fill>
      <patternFill patternType="solid">
        <fgColor indexed="8"/>
        <bgColor indexed="64"/>
      </patternFill>
    </fill>
    <fill>
      <patternFill patternType="solid">
        <fgColor indexed="57"/>
        <bgColor indexed="64"/>
      </patternFill>
    </fill>
    <fill>
      <patternFill patternType="solid">
        <fgColor rgb="FF92D050"/>
        <bgColor indexed="64"/>
      </patternFill>
    </fill>
    <fill>
      <patternFill patternType="solid">
        <fgColor theme="1"/>
        <bgColor indexed="64"/>
      </patternFill>
    </fill>
    <fill>
      <patternFill patternType="solid">
        <fgColor rgb="FFFFC000"/>
        <bgColor indexed="64"/>
      </patternFill>
    </fill>
    <fill>
      <patternFill patternType="solid">
        <fgColor theme="5" tint="0.39997558519241921"/>
        <bgColor indexed="64"/>
      </patternFill>
    </fill>
    <fill>
      <patternFill patternType="solid">
        <fgColor theme="6" tint="0.59999389629810485"/>
        <bgColor indexed="64"/>
      </patternFill>
    </fill>
    <fill>
      <patternFill patternType="solid">
        <fgColor theme="3" tint="0.79998168889431442"/>
        <bgColor indexed="64"/>
      </patternFill>
    </fill>
    <fill>
      <patternFill patternType="solid">
        <fgColor rgb="FF00B050"/>
        <bgColor indexed="64"/>
      </patternFill>
    </fill>
    <fill>
      <patternFill patternType="solid">
        <fgColor rgb="FFFFFF00"/>
        <bgColor indexed="64"/>
      </patternFill>
    </fill>
    <fill>
      <gradientFill degree="135">
        <stop position="0">
          <color theme="0"/>
        </stop>
        <stop position="1">
          <color theme="4"/>
        </stop>
      </gradientFill>
    </fill>
    <fill>
      <patternFill patternType="solid">
        <fgColor theme="0" tint="-4.9989318521683403E-2"/>
        <bgColor indexed="64"/>
      </patternFill>
    </fill>
    <fill>
      <patternFill patternType="solid">
        <fgColor rgb="FF002060"/>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theme="9" tint="0.39997558519241921"/>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CC99"/>
      </patternFill>
    </fill>
    <fill>
      <patternFill patternType="solid">
        <fgColor rgb="FFF2F2F2"/>
      </patternFill>
    </fill>
    <fill>
      <patternFill patternType="solid">
        <fgColor indexed="9"/>
      </patternFill>
    </fill>
    <fill>
      <patternFill patternType="solid">
        <fgColor theme="6" tint="0.79998168889431442"/>
        <bgColor theme="6" tint="0.79998168889431442"/>
      </patternFill>
    </fill>
    <fill>
      <patternFill patternType="solid">
        <fgColor theme="0"/>
        <bgColor indexed="64"/>
      </patternFill>
    </fill>
  </fills>
  <borders count="3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dashed">
        <color indexed="64"/>
      </left>
      <right style="dashed">
        <color indexed="64"/>
      </right>
      <top style="dashed">
        <color indexed="64"/>
      </top>
      <bottom style="dashed">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bottom/>
      <diagonal/>
    </border>
    <border>
      <left/>
      <right/>
      <top/>
      <bottom style="thick">
        <color theme="4"/>
      </bottom>
      <diagonal/>
    </border>
    <border>
      <left/>
      <right/>
      <top/>
      <bottom style="thick">
        <color theme="4" tint="0.499984740745262"/>
      </bottom>
      <diagonal/>
    </border>
    <border>
      <left style="thin">
        <color rgb="FF7F7F7F"/>
      </left>
      <right style="thin">
        <color rgb="FF7F7F7F"/>
      </right>
      <top style="thin">
        <color rgb="FF7F7F7F"/>
      </top>
      <bottom style="thin">
        <color rgb="FF7F7F7F"/>
      </bottom>
      <diagonal/>
    </border>
    <border>
      <left/>
      <right/>
      <top/>
      <bottom style="hair">
        <color indexed="16"/>
      </bottom>
      <diagonal/>
    </border>
    <border>
      <left/>
      <right style="thin">
        <color auto="1"/>
      </right>
      <top/>
      <bottom/>
      <diagonal/>
    </border>
    <border>
      <left/>
      <right/>
      <top style="hair">
        <color indexed="16"/>
      </top>
      <bottom/>
      <diagonal/>
    </border>
    <border>
      <left/>
      <right style="hair">
        <color indexed="16"/>
      </right>
      <top style="hair">
        <color indexed="16"/>
      </top>
      <bottom/>
      <diagonal/>
    </border>
    <border>
      <left style="hair">
        <color indexed="16"/>
      </left>
      <right/>
      <top style="hair">
        <color indexed="16"/>
      </top>
      <bottom/>
      <diagonal/>
    </border>
    <border>
      <left style="hair">
        <color indexed="16"/>
      </left>
      <right/>
      <top/>
      <bottom style="hair">
        <color indexed="16"/>
      </bottom>
      <diagonal/>
    </border>
    <border>
      <left style="hair">
        <color indexed="16"/>
      </left>
      <right/>
      <top/>
      <bottom/>
      <diagonal/>
    </border>
    <border>
      <left/>
      <right style="hair">
        <color indexed="16"/>
      </right>
      <top style="hair">
        <color indexed="16"/>
      </top>
      <bottom style="hair">
        <color indexed="16"/>
      </bottom>
      <diagonal/>
    </border>
    <border>
      <left/>
      <right/>
      <top style="hair">
        <color indexed="16"/>
      </top>
      <bottom style="hair">
        <color indexed="16"/>
      </bottom>
      <diagonal/>
    </border>
    <border>
      <left style="hair">
        <color indexed="16"/>
      </left>
      <right/>
      <top style="hair">
        <color indexed="16"/>
      </top>
      <bottom style="hair">
        <color indexed="16"/>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ck">
        <color theme="4" tint="0.499984740745262"/>
      </top>
      <bottom/>
      <diagonal/>
    </border>
    <border>
      <left style="medium">
        <color indexed="64"/>
      </left>
      <right/>
      <top/>
      <bottom/>
      <diagonal/>
    </border>
    <border>
      <left/>
      <right style="medium">
        <color indexed="64"/>
      </right>
      <top/>
      <bottom/>
      <diagonal/>
    </border>
    <border>
      <left/>
      <right style="medium">
        <color indexed="64"/>
      </right>
      <top style="thick">
        <color theme="4" tint="0.499984740745262"/>
      </top>
      <bottom/>
      <diagonal/>
    </border>
    <border>
      <left/>
      <right/>
      <top style="thick">
        <color theme="4"/>
      </top>
      <bottom/>
      <diagonal/>
    </border>
  </borders>
  <cellStyleXfs count="13">
    <xf numFmtId="0" fontId="0" fillId="0" borderId="0"/>
    <xf numFmtId="43" fontId="2" fillId="0" borderId="0" applyFont="0" applyFill="0" applyBorder="0" applyAlignment="0" applyProtection="0"/>
    <xf numFmtId="44" fontId="2" fillId="0" borderId="0" applyFont="0" applyFill="0" applyBorder="0" applyAlignment="0" applyProtection="0"/>
    <xf numFmtId="0" fontId="1" fillId="0" borderId="0"/>
    <xf numFmtId="9" fontId="19" fillId="0" borderId="0" applyFont="0" applyFill="0" applyBorder="0" applyAlignment="0" applyProtection="0"/>
    <xf numFmtId="0" fontId="3" fillId="0" borderId="0"/>
    <xf numFmtId="0" fontId="21" fillId="0" borderId="12" applyNumberFormat="0" applyFill="0" applyAlignment="0" applyProtection="0"/>
    <xf numFmtId="0" fontId="22" fillId="0" borderId="13" applyNumberFormat="0" applyFill="0" applyAlignment="0" applyProtection="0"/>
    <xf numFmtId="0" fontId="23" fillId="0" borderId="0"/>
    <xf numFmtId="44" fontId="20" fillId="0" borderId="0" applyFont="0" applyFill="0" applyBorder="0" applyAlignment="0" applyProtection="0"/>
    <xf numFmtId="0" fontId="25" fillId="28" borderId="0" applyNumberFormat="0" applyBorder="0" applyAlignment="0" applyProtection="0"/>
    <xf numFmtId="0" fontId="29" fillId="25" borderId="14" applyNumberFormat="0" applyAlignment="0" applyProtection="0"/>
    <xf numFmtId="0" fontId="31" fillId="26" borderId="14" applyNumberFormat="0" applyAlignment="0" applyProtection="0"/>
  </cellStyleXfs>
  <cellXfs count="314">
    <xf numFmtId="0" fontId="0" fillId="0" borderId="0" xfId="0"/>
    <xf numFmtId="0" fontId="3" fillId="0" borderId="0" xfId="0" applyFont="1"/>
    <xf numFmtId="8" fontId="3" fillId="7" borderId="0" xfId="2" applyNumberFormat="1" applyFont="1" applyFill="1"/>
    <xf numFmtId="8" fontId="4" fillId="18" borderId="1" xfId="0" applyNumberFormat="1" applyFont="1" applyFill="1" applyBorder="1" applyProtection="1"/>
    <xf numFmtId="0" fontId="3" fillId="0" borderId="0" xfId="0" applyFont="1" applyFill="1" applyBorder="1"/>
    <xf numFmtId="0" fontId="3" fillId="4" borderId="0" xfId="0" applyFont="1" applyFill="1" applyBorder="1" applyProtection="1">
      <protection locked="0"/>
    </xf>
    <xf numFmtId="0" fontId="3" fillId="2" borderId="0" xfId="0" applyFont="1" applyFill="1" applyBorder="1" applyProtection="1">
      <protection locked="0"/>
    </xf>
    <xf numFmtId="0" fontId="3" fillId="5" borderId="0" xfId="0" applyFont="1" applyFill="1" applyBorder="1" applyProtection="1">
      <protection locked="0"/>
    </xf>
    <xf numFmtId="0" fontId="3" fillId="12" borderId="0" xfId="0" applyFont="1" applyFill="1" applyBorder="1" applyProtection="1">
      <protection locked="0"/>
    </xf>
    <xf numFmtId="0" fontId="3" fillId="19" borderId="0" xfId="0" applyFont="1" applyFill="1" applyBorder="1"/>
    <xf numFmtId="0" fontId="4" fillId="9" borderId="0" xfId="0" applyFont="1" applyFill="1" applyBorder="1" applyProtection="1">
      <protection locked="0"/>
    </xf>
    <xf numFmtId="8" fontId="3" fillId="0" borderId="0" xfId="2" applyNumberFormat="1" applyFont="1" applyFill="1"/>
    <xf numFmtId="0" fontId="3" fillId="0" borderId="0" xfId="0" applyFont="1" applyFill="1" applyBorder="1" applyProtection="1">
      <protection locked="0"/>
    </xf>
    <xf numFmtId="0" fontId="0" fillId="0" borderId="0" xfId="0" applyFill="1"/>
    <xf numFmtId="8" fontId="4" fillId="0" borderId="0" xfId="0" applyNumberFormat="1" applyFont="1" applyFill="1" applyBorder="1" applyProtection="1"/>
    <xf numFmtId="8" fontId="3" fillId="0" borderId="0" xfId="2" applyNumberFormat="1" applyFont="1" applyFill="1" applyBorder="1"/>
    <xf numFmtId="0" fontId="0" fillId="0" borderId="0" xfId="0" applyAlignment="1"/>
    <xf numFmtId="44" fontId="3" fillId="11" borderId="0" xfId="2" applyFont="1" applyFill="1" applyBorder="1"/>
    <xf numFmtId="44" fontId="3" fillId="4" borderId="0" xfId="2" applyFont="1" applyFill="1" applyBorder="1" applyProtection="1">
      <protection locked="0"/>
    </xf>
    <xf numFmtId="44" fontId="3" fillId="2" borderId="0" xfId="2" applyFont="1" applyFill="1" applyBorder="1" applyProtection="1">
      <protection locked="0"/>
    </xf>
    <xf numFmtId="44" fontId="3" fillId="5" borderId="0" xfId="2" applyFont="1" applyFill="1" applyBorder="1" applyProtection="1">
      <protection locked="0"/>
    </xf>
    <xf numFmtId="44" fontId="3" fillId="12" borderId="0" xfId="2" applyFont="1" applyFill="1" applyBorder="1" applyProtection="1">
      <protection locked="0"/>
    </xf>
    <xf numFmtId="44" fontId="3" fillId="19" borderId="0" xfId="2" applyFont="1" applyFill="1" applyBorder="1"/>
    <xf numFmtId="44" fontId="4" fillId="9" borderId="0" xfId="2" applyFont="1" applyFill="1" applyBorder="1" applyProtection="1">
      <protection locked="0"/>
    </xf>
    <xf numFmtId="0" fontId="3" fillId="20" borderId="0" xfId="0" applyFont="1" applyFill="1" applyAlignment="1"/>
    <xf numFmtId="0" fontId="0" fillId="0" borderId="7" xfId="0" applyBorder="1"/>
    <xf numFmtId="0" fontId="0" fillId="21" borderId="0" xfId="0" applyFill="1"/>
    <xf numFmtId="0" fontId="0" fillId="21" borderId="7" xfId="0" applyFill="1" applyBorder="1"/>
    <xf numFmtId="0" fontId="3" fillId="0" borderId="0" xfId="0" applyFont="1" applyAlignment="1">
      <alignment horizontal="center"/>
    </xf>
    <xf numFmtId="44" fontId="0" fillId="0" borderId="0" xfId="0" applyNumberFormat="1"/>
    <xf numFmtId="0" fontId="0" fillId="0" borderId="0" xfId="0" applyFill="1" applyBorder="1"/>
    <xf numFmtId="8" fontId="3" fillId="7" borderId="0" xfId="0" applyNumberFormat="1" applyFont="1" applyFill="1" applyProtection="1"/>
    <xf numFmtId="8" fontId="3" fillId="7" borderId="0" xfId="2" applyNumberFormat="1" applyFont="1" applyFill="1" applyProtection="1"/>
    <xf numFmtId="0" fontId="3" fillId="2" borderId="1" xfId="0" applyFont="1" applyFill="1" applyBorder="1" applyProtection="1"/>
    <xf numFmtId="0" fontId="3" fillId="4" borderId="1" xfId="0" applyFont="1" applyFill="1" applyBorder="1" applyProtection="1"/>
    <xf numFmtId="0" fontId="3" fillId="5" borderId="1" xfId="0" applyFont="1" applyFill="1" applyBorder="1" applyProtection="1"/>
    <xf numFmtId="0" fontId="3" fillId="12" borderId="1" xfId="0" applyFont="1" applyFill="1" applyBorder="1" applyProtection="1"/>
    <xf numFmtId="0" fontId="3" fillId="10" borderId="1" xfId="0" applyFont="1" applyFill="1" applyBorder="1" applyProtection="1"/>
    <xf numFmtId="8" fontId="3" fillId="22" borderId="1" xfId="2" applyNumberFormat="1" applyFont="1" applyFill="1" applyBorder="1" applyProtection="1"/>
    <xf numFmtId="0" fontId="4" fillId="9" borderId="1" xfId="0" applyFont="1" applyFill="1" applyBorder="1" applyProtection="1"/>
    <xf numFmtId="0" fontId="3" fillId="11" borderId="1" xfId="0" applyFont="1" applyFill="1" applyBorder="1" applyProtection="1"/>
    <xf numFmtId="0" fontId="3" fillId="19" borderId="1" xfId="0" applyFont="1" applyFill="1" applyBorder="1" applyProtection="1"/>
    <xf numFmtId="0" fontId="3" fillId="14" borderId="1" xfId="0" applyFont="1" applyFill="1" applyBorder="1" applyProtection="1"/>
    <xf numFmtId="0" fontId="3" fillId="0" borderId="0" xfId="0" applyFont="1" applyProtection="1"/>
    <xf numFmtId="8" fontId="3" fillId="0" borderId="0" xfId="0" applyNumberFormat="1" applyFont="1" applyProtection="1"/>
    <xf numFmtId="164" fontId="3" fillId="0" borderId="0" xfId="1" applyNumberFormat="1" applyFont="1" applyProtection="1"/>
    <xf numFmtId="17" fontId="3" fillId="0" borderId="0" xfId="0" applyNumberFormat="1" applyFont="1" applyProtection="1"/>
    <xf numFmtId="0" fontId="6" fillId="0" borderId="0" xfId="0" applyFont="1" applyProtection="1"/>
    <xf numFmtId="8" fontId="3" fillId="13" borderId="0" xfId="0" applyNumberFormat="1" applyFont="1" applyFill="1" applyProtection="1"/>
    <xf numFmtId="8" fontId="3" fillId="11" borderId="0" xfId="0" applyNumberFormat="1" applyFont="1" applyFill="1" applyProtection="1"/>
    <xf numFmtId="44" fontId="3" fillId="0" borderId="0" xfId="0" applyNumberFormat="1" applyFont="1" applyProtection="1"/>
    <xf numFmtId="0" fontId="3" fillId="9" borderId="0" xfId="0" applyFont="1" applyFill="1" applyProtection="1"/>
    <xf numFmtId="8" fontId="3" fillId="4" borderId="1" xfId="2" applyNumberFormat="1" applyFont="1" applyFill="1" applyBorder="1" applyProtection="1"/>
    <xf numFmtId="8" fontId="3" fillId="17" borderId="0" xfId="2" applyNumberFormat="1" applyFont="1" applyFill="1" applyProtection="1"/>
    <xf numFmtId="0" fontId="3" fillId="17" borderId="0" xfId="0" applyFont="1" applyFill="1" applyProtection="1"/>
    <xf numFmtId="44" fontId="3" fillId="13" borderId="0" xfId="0" applyNumberFormat="1" applyFont="1" applyFill="1" applyProtection="1"/>
    <xf numFmtId="44" fontId="3" fillId="11" borderId="0" xfId="0" applyNumberFormat="1" applyFont="1" applyFill="1" applyProtection="1"/>
    <xf numFmtId="44" fontId="3" fillId="11" borderId="6" xfId="2" applyFont="1" applyFill="1" applyBorder="1" applyProtection="1"/>
    <xf numFmtId="165" fontId="3" fillId="0" borderId="0" xfId="0" applyNumberFormat="1" applyFont="1" applyProtection="1"/>
    <xf numFmtId="44" fontId="3" fillId="13" borderId="0" xfId="2" applyFont="1" applyFill="1" applyProtection="1"/>
    <xf numFmtId="0" fontId="3" fillId="11" borderId="0" xfId="0" applyFont="1" applyFill="1" applyProtection="1"/>
    <xf numFmtId="44" fontId="3" fillId="0" borderId="0" xfId="2" applyFont="1" applyProtection="1"/>
    <xf numFmtId="2" fontId="3" fillId="13" borderId="2" xfId="0" applyNumberFormat="1" applyFont="1" applyFill="1" applyBorder="1" applyProtection="1"/>
    <xf numFmtId="2" fontId="3" fillId="11" borderId="2" xfId="0" applyNumberFormat="1" applyFont="1" applyFill="1" applyBorder="1" applyProtection="1"/>
    <xf numFmtId="17" fontId="3" fillId="3" borderId="0" xfId="0" applyNumberFormat="1" applyFont="1" applyFill="1" applyProtection="1"/>
    <xf numFmtId="0" fontId="5" fillId="0" borderId="0" xfId="0" applyFont="1" applyAlignment="1" applyProtection="1">
      <alignment horizontal="right"/>
    </xf>
    <xf numFmtId="44" fontId="5" fillId="0" borderId="0" xfId="0" applyNumberFormat="1" applyFont="1" applyProtection="1"/>
    <xf numFmtId="0" fontId="8" fillId="0" borderId="0" xfId="0" applyFont="1" applyAlignment="1" applyProtection="1">
      <alignment horizontal="center"/>
    </xf>
    <xf numFmtId="0" fontId="4" fillId="0" borderId="0" xfId="0" applyFont="1" applyProtection="1"/>
    <xf numFmtId="8" fontId="3" fillId="0" borderId="0" xfId="2" applyNumberFormat="1" applyFont="1" applyProtection="1"/>
    <xf numFmtId="164" fontId="6" fillId="0" borderId="0" xfId="1" applyNumberFormat="1" applyFont="1" applyProtection="1"/>
    <xf numFmtId="17" fontId="3" fillId="16" borderId="0" xfId="0" applyNumberFormat="1" applyFont="1" applyFill="1" applyProtection="1"/>
    <xf numFmtId="8" fontId="3" fillId="2" borderId="1" xfId="2" applyNumberFormat="1" applyFont="1" applyFill="1" applyBorder="1" applyProtection="1"/>
    <xf numFmtId="8" fontId="3" fillId="2" borderId="1" xfId="0" applyNumberFormat="1" applyFont="1" applyFill="1" applyBorder="1" applyProtection="1"/>
    <xf numFmtId="8" fontId="0" fillId="2" borderId="1" xfId="0" applyNumberFormat="1" applyFill="1" applyBorder="1" applyProtection="1"/>
    <xf numFmtId="164" fontId="12" fillId="0" borderId="0" xfId="1" applyNumberFormat="1" applyFont="1" applyProtection="1"/>
    <xf numFmtId="43" fontId="3" fillId="0" borderId="0" xfId="1" applyFont="1" applyProtection="1"/>
    <xf numFmtId="43" fontId="6" fillId="0" borderId="0" xfId="0" applyNumberFormat="1" applyFont="1" applyProtection="1"/>
    <xf numFmtId="0" fontId="16" fillId="0" borderId="0" xfId="0" applyFont="1" applyFill="1" applyBorder="1" applyProtection="1"/>
    <xf numFmtId="44" fontId="16" fillId="0" borderId="0" xfId="0" applyNumberFormat="1" applyFont="1" applyFill="1" applyBorder="1" applyProtection="1"/>
    <xf numFmtId="0" fontId="14" fillId="0" borderId="0" xfId="0" applyFont="1" applyFill="1" applyBorder="1" applyProtection="1"/>
    <xf numFmtId="44" fontId="14" fillId="0" borderId="0" xfId="2" applyNumberFormat="1" applyFont="1" applyFill="1" applyBorder="1" applyProtection="1"/>
    <xf numFmtId="44" fontId="14" fillId="0" borderId="0" xfId="0" applyNumberFormat="1" applyFont="1" applyFill="1" applyBorder="1" applyProtection="1"/>
    <xf numFmtId="43" fontId="3" fillId="0" borderId="0" xfId="1" applyNumberFormat="1" applyFont="1" applyProtection="1"/>
    <xf numFmtId="17" fontId="14" fillId="0" borderId="0" xfId="0" applyNumberFormat="1" applyFont="1" applyFill="1" applyBorder="1" applyProtection="1"/>
    <xf numFmtId="8" fontId="3" fillId="5" borderId="1" xfId="2" applyNumberFormat="1" applyFont="1" applyFill="1" applyBorder="1" applyProtection="1"/>
    <xf numFmtId="8" fontId="3" fillId="8" borderId="0" xfId="0" applyNumberFormat="1" applyFont="1" applyFill="1" applyProtection="1"/>
    <xf numFmtId="164" fontId="3" fillId="0" borderId="0" xfId="1" applyNumberFormat="1" applyFont="1" applyBorder="1" applyProtection="1"/>
    <xf numFmtId="8" fontId="9" fillId="0" borderId="0" xfId="0" applyNumberFormat="1" applyFont="1" applyProtection="1"/>
    <xf numFmtId="0" fontId="3" fillId="0" borderId="0" xfId="0" applyFont="1" applyBorder="1" applyProtection="1"/>
    <xf numFmtId="165" fontId="3" fillId="0" borderId="0" xfId="0" applyNumberFormat="1" applyFont="1" applyBorder="1" applyProtection="1"/>
    <xf numFmtId="166" fontId="11" fillId="0" borderId="0" xfId="1" applyNumberFormat="1" applyFont="1" applyBorder="1" applyProtection="1"/>
    <xf numFmtId="0" fontId="14" fillId="0" borderId="0" xfId="0" applyFont="1" applyFill="1" applyBorder="1" applyAlignment="1" applyProtection="1">
      <alignment horizontal="center"/>
    </xf>
    <xf numFmtId="44" fontId="14" fillId="0" borderId="0" xfId="0" applyNumberFormat="1" applyFont="1" applyFill="1" applyBorder="1" applyAlignment="1" applyProtection="1">
      <alignment horizontal="center"/>
    </xf>
    <xf numFmtId="8" fontId="3" fillId="18" borderId="1" xfId="2" applyNumberFormat="1" applyFont="1" applyFill="1" applyBorder="1" applyProtection="1"/>
    <xf numFmtId="0" fontId="7" fillId="0" borderId="0" xfId="0" applyFont="1" applyProtection="1"/>
    <xf numFmtId="8" fontId="3" fillId="12" borderId="1" xfId="2" applyNumberFormat="1" applyFont="1" applyFill="1" applyBorder="1" applyProtection="1"/>
    <xf numFmtId="8" fontId="3" fillId="10" borderId="1" xfId="2" applyNumberFormat="1" applyFont="1" applyFill="1" applyBorder="1" applyProtection="1"/>
    <xf numFmtId="8" fontId="3" fillId="17" borderId="0" xfId="0" applyNumberFormat="1" applyFont="1" applyFill="1" applyProtection="1"/>
    <xf numFmtId="8" fontId="10" fillId="6" borderId="1" xfId="2" applyNumberFormat="1" applyFont="1" applyFill="1" applyBorder="1" applyProtection="1"/>
    <xf numFmtId="0" fontId="3" fillId="0" borderId="0" xfId="0" applyFont="1" applyFill="1" applyBorder="1" applyProtection="1"/>
    <xf numFmtId="44" fontId="3" fillId="0" borderId="0" xfId="2" applyFont="1" applyFill="1" applyBorder="1" applyProtection="1"/>
    <xf numFmtId="44" fontId="6" fillId="0" borderId="0" xfId="0" applyNumberFormat="1" applyFont="1" applyProtection="1"/>
    <xf numFmtId="8" fontId="3" fillId="11" borderId="1" xfId="2" applyNumberFormat="1" applyFont="1" applyFill="1" applyBorder="1" applyProtection="1"/>
    <xf numFmtId="44" fontId="3" fillId="19" borderId="1" xfId="0" applyNumberFormat="1" applyFont="1" applyFill="1" applyBorder="1" applyProtection="1"/>
    <xf numFmtId="165" fontId="3" fillId="14" borderId="1" xfId="2" applyNumberFormat="1" applyFont="1" applyFill="1" applyBorder="1" applyAlignment="1" applyProtection="1">
      <alignment horizontal="right"/>
    </xf>
    <xf numFmtId="8" fontId="3" fillId="15" borderId="3" xfId="0" applyNumberFormat="1" applyFont="1" applyFill="1" applyBorder="1" applyProtection="1"/>
    <xf numFmtId="8" fontId="3" fillId="15" borderId="4" xfId="0" applyNumberFormat="1" applyFont="1" applyFill="1" applyBorder="1" applyProtection="1"/>
    <xf numFmtId="8" fontId="3" fillId="15" borderId="5" xfId="0" applyNumberFormat="1" applyFont="1" applyFill="1" applyBorder="1" applyProtection="1"/>
    <xf numFmtId="167" fontId="13" fillId="0" borderId="0" xfId="0" applyNumberFormat="1" applyFont="1" applyProtection="1"/>
    <xf numFmtId="8" fontId="12" fillId="0" borderId="0" xfId="0" applyNumberFormat="1" applyFont="1" applyProtection="1"/>
    <xf numFmtId="8" fontId="3" fillId="15" borderId="3" xfId="2" applyNumberFormat="1" applyFont="1" applyFill="1" applyBorder="1" applyProtection="1"/>
    <xf numFmtId="8" fontId="3" fillId="15" borderId="4" xfId="2" applyNumberFormat="1" applyFont="1" applyFill="1" applyBorder="1" applyProtection="1"/>
    <xf numFmtId="8" fontId="3" fillId="15" borderId="5" xfId="2" applyNumberFormat="1" applyFont="1" applyFill="1" applyBorder="1" applyProtection="1"/>
    <xf numFmtId="8" fontId="3" fillId="0" borderId="0" xfId="0" applyNumberFormat="1" applyFont="1" applyFill="1" applyProtection="1"/>
    <xf numFmtId="44" fontId="3" fillId="0" borderId="0" xfId="0" applyNumberFormat="1" applyFont="1" applyBorder="1" applyProtection="1"/>
    <xf numFmtId="0" fontId="3" fillId="0" borderId="0" xfId="5"/>
    <xf numFmtId="8" fontId="3" fillId="0" borderId="0" xfId="2" applyNumberFormat="1" applyFont="1"/>
    <xf numFmtId="44" fontId="3" fillId="0" borderId="0" xfId="5" applyNumberFormat="1"/>
    <xf numFmtId="44" fontId="5" fillId="9" borderId="0" xfId="5" applyNumberFormat="1" applyFont="1" applyFill="1"/>
    <xf numFmtId="0" fontId="5" fillId="9" borderId="0" xfId="5" applyFont="1" applyFill="1"/>
    <xf numFmtId="44" fontId="3" fillId="9" borderId="0" xfId="2" applyFont="1" applyFill="1"/>
    <xf numFmtId="44" fontId="5" fillId="9" borderId="0" xfId="2" applyFont="1" applyFill="1"/>
    <xf numFmtId="0" fontId="4" fillId="9" borderId="0" xfId="5" applyFont="1" applyFill="1"/>
    <xf numFmtId="44" fontId="0" fillId="0" borderId="0" xfId="2" applyFont="1"/>
    <xf numFmtId="44" fontId="0" fillId="23" borderId="0" xfId="2" applyFont="1" applyFill="1"/>
    <xf numFmtId="44" fontId="0" fillId="24" borderId="0" xfId="2" applyFont="1" applyFill="1"/>
    <xf numFmtId="8" fontId="3" fillId="22" borderId="0" xfId="2" applyNumberFormat="1" applyFont="1" applyFill="1" applyBorder="1"/>
    <xf numFmtId="44" fontId="3" fillId="22" borderId="0" xfId="2" applyFont="1" applyFill="1" applyBorder="1"/>
    <xf numFmtId="0" fontId="3" fillId="10" borderId="0" xfId="0" applyFont="1" applyFill="1" applyBorder="1" applyProtection="1">
      <protection locked="0"/>
    </xf>
    <xf numFmtId="44" fontId="3" fillId="10" borderId="0" xfId="2" applyFont="1" applyFill="1" applyBorder="1" applyProtection="1">
      <protection locked="0"/>
    </xf>
    <xf numFmtId="0" fontId="3" fillId="0" borderId="0" xfId="0" applyNumberFormat="1" applyFont="1" applyProtection="1"/>
    <xf numFmtId="0" fontId="4" fillId="18" borderId="1" xfId="0" applyNumberFormat="1" applyFont="1" applyFill="1" applyBorder="1" applyProtection="1"/>
    <xf numFmtId="0" fontId="3" fillId="12" borderId="0" xfId="2" applyNumberFormat="1" applyFont="1" applyFill="1" applyBorder="1" applyProtection="1">
      <protection locked="0"/>
    </xf>
    <xf numFmtId="0" fontId="3" fillId="5" borderId="0" xfId="2" applyNumberFormat="1" applyFont="1" applyFill="1" applyBorder="1" applyProtection="1">
      <protection locked="0"/>
    </xf>
    <xf numFmtId="0" fontId="3" fillId="4" borderId="0" xfId="2" applyNumberFormat="1" applyFont="1" applyFill="1" applyBorder="1" applyProtection="1">
      <protection locked="0"/>
    </xf>
    <xf numFmtId="0" fontId="3" fillId="2" borderId="0" xfId="2" applyNumberFormat="1" applyFont="1" applyFill="1" applyBorder="1" applyProtection="1">
      <protection locked="0"/>
    </xf>
    <xf numFmtId="0" fontId="3" fillId="10" borderId="0" xfId="2" applyNumberFormat="1" applyFont="1" applyFill="1" applyBorder="1" applyProtection="1">
      <protection locked="0"/>
    </xf>
    <xf numFmtId="0" fontId="3" fillId="22" borderId="0" xfId="2" applyNumberFormat="1" applyFont="1" applyFill="1" applyBorder="1"/>
    <xf numFmtId="0" fontId="4" fillId="9" borderId="0" xfId="2" applyNumberFormat="1" applyFont="1" applyFill="1" applyBorder="1" applyProtection="1">
      <protection locked="0"/>
    </xf>
    <xf numFmtId="0" fontId="3" fillId="19" borderId="0" xfId="2" applyNumberFormat="1" applyFont="1" applyFill="1" applyBorder="1"/>
    <xf numFmtId="0" fontId="6" fillId="0" borderId="0" xfId="0" applyNumberFormat="1" applyFont="1" applyProtection="1"/>
    <xf numFmtId="0" fontId="3" fillId="0" borderId="0" xfId="1" applyNumberFormat="1" applyFont="1" applyProtection="1"/>
    <xf numFmtId="168" fontId="3" fillId="0" borderId="0" xfId="4" applyNumberFormat="1" applyFont="1"/>
    <xf numFmtId="14" fontId="4" fillId="18" borderId="11" xfId="0" applyNumberFormat="1" applyFont="1" applyFill="1" applyBorder="1"/>
    <xf numFmtId="0" fontId="23" fillId="0" borderId="0" xfId="8"/>
    <xf numFmtId="0" fontId="23" fillId="0" borderId="0" xfId="8" applyAlignment="1">
      <alignment horizontal="center"/>
    </xf>
    <xf numFmtId="0" fontId="23" fillId="0" borderId="0" xfId="8" applyAlignment="1">
      <alignment horizontal="left"/>
    </xf>
    <xf numFmtId="44" fontId="24" fillId="27" borderId="0" xfId="9" applyFont="1" applyFill="1" applyBorder="1" applyAlignment="1">
      <alignment horizontal="right"/>
    </xf>
    <xf numFmtId="44" fontId="24" fillId="27" borderId="0" xfId="9" applyFont="1" applyFill="1" applyBorder="1" applyAlignment="1" applyProtection="1">
      <alignment horizontal="right"/>
      <protection locked="0"/>
    </xf>
    <xf numFmtId="14" fontId="24" fillId="27" borderId="0" xfId="8" applyNumberFormat="1" applyFont="1" applyFill="1" applyAlignment="1">
      <alignment horizontal="right"/>
    </xf>
    <xf numFmtId="0" fontId="24" fillId="27" borderId="0" xfId="8" applyFont="1" applyFill="1" applyAlignment="1">
      <alignment horizontal="left"/>
    </xf>
    <xf numFmtId="0" fontId="23" fillId="0" borderId="0" xfId="8" applyAlignment="1">
      <alignment wrapText="1"/>
    </xf>
    <xf numFmtId="0" fontId="26" fillId="28" borderId="15" xfId="10" applyFont="1" applyBorder="1" applyAlignment="1" applyProtection="1">
      <alignment horizontal="left" wrapText="1" indent="3"/>
    </xf>
    <xf numFmtId="0" fontId="26" fillId="28" borderId="15" xfId="10" applyFont="1" applyBorder="1" applyAlignment="1" applyProtection="1">
      <alignment horizontal="left" wrapText="1" indent="2"/>
    </xf>
    <xf numFmtId="0" fontId="26" fillId="28" borderId="15" xfId="10" applyFont="1" applyBorder="1" applyAlignment="1">
      <alignment horizontal="left"/>
    </xf>
    <xf numFmtId="0" fontId="27" fillId="28" borderId="11" xfId="10" applyFont="1" applyBorder="1" applyAlignment="1" applyProtection="1">
      <alignment horizontal="center" vertical="center" wrapText="1"/>
    </xf>
    <xf numFmtId="0" fontId="27" fillId="28" borderId="9" xfId="10" applyFont="1" applyBorder="1" applyAlignment="1" applyProtection="1">
      <alignment horizontal="center" vertical="center" wrapText="1"/>
    </xf>
    <xf numFmtId="0" fontId="27" fillId="28" borderId="16" xfId="10" applyFont="1" applyBorder="1" applyAlignment="1" applyProtection="1">
      <alignment horizontal="center" vertical="center" wrapText="1"/>
    </xf>
    <xf numFmtId="0" fontId="26" fillId="28" borderId="0" xfId="10" applyFont="1" applyBorder="1"/>
    <xf numFmtId="0" fontId="26" fillId="28" borderId="0" xfId="10" applyFont="1" applyBorder="1" applyAlignment="1">
      <alignment horizontal="left"/>
    </xf>
    <xf numFmtId="0" fontId="23" fillId="27" borderId="15" xfId="8" applyFill="1" applyBorder="1"/>
    <xf numFmtId="0" fontId="23" fillId="27" borderId="15" xfId="8" applyFill="1" applyBorder="1" applyAlignment="1">
      <alignment horizontal="left"/>
    </xf>
    <xf numFmtId="0" fontId="23" fillId="27" borderId="0" xfId="8" applyFill="1"/>
    <xf numFmtId="0" fontId="23" fillId="27" borderId="17" xfId="8" applyFill="1" applyBorder="1" applyAlignment="1">
      <alignment horizontal="left"/>
    </xf>
    <xf numFmtId="0" fontId="28" fillId="27" borderId="0" xfId="8" applyFont="1" applyFill="1" applyAlignment="1">
      <alignment horizontal="right"/>
    </xf>
    <xf numFmtId="0" fontId="23" fillId="27" borderId="0" xfId="8" applyFill="1" applyAlignment="1">
      <alignment horizontal="left"/>
    </xf>
    <xf numFmtId="44" fontId="30" fillId="25" borderId="14" xfId="11" applyNumberFormat="1" applyFont="1" applyAlignment="1" applyProtection="1">
      <alignment horizontal="right"/>
      <protection locked="0"/>
    </xf>
    <xf numFmtId="0" fontId="23" fillId="27" borderId="15" xfId="8" applyFill="1" applyBorder="1" applyAlignment="1">
      <alignment horizontal="right"/>
    </xf>
    <xf numFmtId="0" fontId="23" fillId="27" borderId="20" xfId="8" applyFill="1" applyBorder="1" applyAlignment="1">
      <alignment horizontal="left"/>
    </xf>
    <xf numFmtId="44" fontId="32" fillId="26" borderId="14" xfId="12" applyNumberFormat="1" applyFont="1" applyAlignment="1">
      <alignment horizontal="right"/>
    </xf>
    <xf numFmtId="14" fontId="30" fillId="25" borderId="14" xfId="11" applyNumberFormat="1" applyFont="1" applyAlignment="1" applyProtection="1">
      <alignment horizontal="right"/>
      <protection locked="0"/>
    </xf>
    <xf numFmtId="0" fontId="23" fillId="27" borderId="0" xfId="8" applyFill="1" applyAlignment="1">
      <alignment horizontal="right"/>
    </xf>
    <xf numFmtId="0" fontId="23" fillId="27" borderId="21" xfId="8" applyFill="1" applyBorder="1" applyAlignment="1">
      <alignment horizontal="left"/>
    </xf>
    <xf numFmtId="169" fontId="30" fillId="25" borderId="14" xfId="11" applyNumberFormat="1" applyFont="1" applyAlignment="1" applyProtection="1">
      <alignment horizontal="right"/>
      <protection locked="0"/>
    </xf>
    <xf numFmtId="169" fontId="32" fillId="26" borderId="14" xfId="12" applyNumberFormat="1" applyFont="1" applyAlignment="1">
      <alignment horizontal="right"/>
    </xf>
    <xf numFmtId="170" fontId="30" fillId="25" borderId="14" xfId="11" applyNumberFormat="1" applyFont="1" applyAlignment="1" applyProtection="1">
      <alignment horizontal="right"/>
      <protection locked="0"/>
    </xf>
    <xf numFmtId="0" fontId="33" fillId="27" borderId="0" xfId="8" applyFont="1" applyFill="1"/>
    <xf numFmtId="0" fontId="3" fillId="29" borderId="33" xfId="0" applyFont="1" applyFill="1" applyBorder="1" applyAlignment="1">
      <alignment vertical="center" wrapText="1"/>
    </xf>
    <xf numFmtId="0" fontId="0" fillId="29" borderId="32" xfId="0" applyFill="1" applyBorder="1"/>
    <xf numFmtId="0" fontId="0" fillId="29" borderId="0" xfId="0" applyFill="1" applyBorder="1"/>
    <xf numFmtId="0" fontId="0" fillId="29" borderId="33" xfId="0" applyFill="1" applyBorder="1"/>
    <xf numFmtId="0" fontId="0" fillId="29" borderId="28" xfId="0" applyFill="1" applyBorder="1"/>
    <xf numFmtId="0" fontId="0" fillId="29" borderId="29" xfId="0" applyFill="1" applyBorder="1"/>
    <xf numFmtId="0" fontId="0" fillId="29" borderId="30" xfId="0" applyFill="1" applyBorder="1"/>
    <xf numFmtId="0" fontId="22" fillId="29" borderId="0" xfId="7" applyFill="1" applyBorder="1"/>
    <xf numFmtId="0" fontId="3" fillId="29" borderId="25" xfId="0" applyFont="1" applyFill="1" applyBorder="1" applyAlignment="1">
      <alignment vertical="center" wrapText="1"/>
    </xf>
    <xf numFmtId="0" fontId="3" fillId="29" borderId="26" xfId="0" applyFont="1" applyFill="1" applyBorder="1" applyAlignment="1">
      <alignment vertical="center" wrapText="1"/>
    </xf>
    <xf numFmtId="0" fontId="3" fillId="29" borderId="27" xfId="0" applyFont="1" applyFill="1" applyBorder="1" applyAlignment="1">
      <alignment vertical="center" wrapText="1"/>
    </xf>
    <xf numFmtId="0" fontId="3" fillId="29" borderId="0" xfId="0" applyFont="1" applyFill="1" applyBorder="1" applyAlignment="1">
      <alignment vertical="center" wrapText="1"/>
    </xf>
    <xf numFmtId="0" fontId="3" fillId="29" borderId="32" xfId="0" applyFont="1" applyFill="1" applyBorder="1" applyAlignment="1">
      <alignment vertical="center" wrapText="1"/>
    </xf>
    <xf numFmtId="0" fontId="0" fillId="29" borderId="0" xfId="0" applyFill="1"/>
    <xf numFmtId="0" fontId="3" fillId="29" borderId="31" xfId="0" applyFont="1" applyFill="1" applyBorder="1" applyAlignment="1">
      <alignment vertical="center" wrapText="1"/>
    </xf>
    <xf numFmtId="0" fontId="3" fillId="29" borderId="34" xfId="0" applyFont="1" applyFill="1" applyBorder="1" applyAlignment="1">
      <alignment vertical="center" wrapText="1"/>
    </xf>
    <xf numFmtId="0" fontId="3" fillId="29" borderId="0" xfId="0" applyFont="1" applyFill="1" applyBorder="1" applyAlignment="1">
      <alignment vertical="center" wrapText="1"/>
    </xf>
    <xf numFmtId="0" fontId="3" fillId="29" borderId="33" xfId="0" applyFont="1" applyFill="1" applyBorder="1" applyAlignment="1">
      <alignment vertical="center" wrapText="1"/>
    </xf>
    <xf numFmtId="0" fontId="3" fillId="29" borderId="0" xfId="0" applyFont="1" applyFill="1" applyAlignment="1">
      <alignment vertical="center" wrapText="1"/>
    </xf>
    <xf numFmtId="0" fontId="3" fillId="29" borderId="0" xfId="0" applyFont="1" applyFill="1" applyAlignment="1">
      <alignment wrapText="1"/>
    </xf>
    <xf numFmtId="0" fontId="3" fillId="29" borderId="0" xfId="0" applyFont="1" applyFill="1"/>
    <xf numFmtId="0" fontId="22" fillId="29" borderId="13" xfId="7" applyFill="1"/>
    <xf numFmtId="0" fontId="3" fillId="29" borderId="31" xfId="0" applyFont="1" applyFill="1" applyBorder="1" applyAlignment="1">
      <alignment wrapText="1"/>
    </xf>
    <xf numFmtId="0" fontId="3" fillId="29" borderId="25" xfId="0" applyFont="1" applyFill="1" applyBorder="1" applyAlignment="1">
      <alignment vertical="center" wrapText="1"/>
    </xf>
    <xf numFmtId="0" fontId="3" fillId="29" borderId="26" xfId="0" applyFont="1" applyFill="1" applyBorder="1" applyAlignment="1">
      <alignment vertical="center" wrapText="1"/>
    </xf>
    <xf numFmtId="0" fontId="3" fillId="29" borderId="27" xfId="0" applyFont="1" applyFill="1" applyBorder="1" applyAlignment="1">
      <alignment vertical="center" wrapText="1"/>
    </xf>
    <xf numFmtId="0" fontId="3" fillId="29" borderId="32" xfId="0" applyFont="1" applyFill="1" applyBorder="1" applyAlignment="1">
      <alignment vertical="center" wrapText="1"/>
    </xf>
    <xf numFmtId="0" fontId="3" fillId="29" borderId="28" xfId="0" applyFont="1" applyFill="1" applyBorder="1" applyAlignment="1">
      <alignment vertical="center" wrapText="1"/>
    </xf>
    <xf numFmtId="0" fontId="3" fillId="29" borderId="29" xfId="0" applyFont="1" applyFill="1" applyBorder="1" applyAlignment="1">
      <alignment vertical="center" wrapText="1"/>
    </xf>
    <xf numFmtId="0" fontId="3" fillId="29" borderId="30" xfId="0" applyFont="1" applyFill="1" applyBorder="1" applyAlignment="1">
      <alignment vertical="center" wrapText="1"/>
    </xf>
    <xf numFmtId="0" fontId="0" fillId="29" borderId="25" xfId="0" applyFill="1" applyBorder="1"/>
    <xf numFmtId="0" fontId="0" fillId="29" borderId="26" xfId="0" applyFill="1" applyBorder="1"/>
    <xf numFmtId="0" fontId="0" fillId="29" borderId="27" xfId="0" applyFill="1" applyBorder="1"/>
    <xf numFmtId="0" fontId="0" fillId="29" borderId="32" xfId="0" applyFill="1" applyBorder="1"/>
    <xf numFmtId="0" fontId="0" fillId="29" borderId="0" xfId="0" applyFill="1" applyBorder="1"/>
    <xf numFmtId="0" fontId="0" fillId="29" borderId="33" xfId="0" applyFill="1" applyBorder="1"/>
    <xf numFmtId="0" fontId="0" fillId="29" borderId="28" xfId="0" applyFill="1" applyBorder="1"/>
    <xf numFmtId="0" fontId="0" fillId="29" borderId="29" xfId="0" applyFill="1" applyBorder="1"/>
    <xf numFmtId="0" fontId="0" fillId="29" borderId="30" xfId="0" applyFill="1" applyBorder="1"/>
    <xf numFmtId="0" fontId="21" fillId="29" borderId="12" xfId="6" applyFill="1"/>
    <xf numFmtId="0" fontId="0" fillId="29" borderId="0" xfId="0" applyFill="1"/>
    <xf numFmtId="0" fontId="22" fillId="29" borderId="0" xfId="7" applyFill="1" applyBorder="1"/>
    <xf numFmtId="0" fontId="3" fillId="0" borderId="25" xfId="0" applyFont="1" applyBorder="1" applyAlignment="1">
      <alignment horizontal="center" wrapText="1"/>
    </xf>
    <xf numFmtId="0" fontId="3" fillId="0" borderId="26" xfId="0" applyFont="1" applyBorder="1" applyAlignment="1">
      <alignment horizontal="center" wrapText="1"/>
    </xf>
    <xf numFmtId="0" fontId="3" fillId="0" borderId="27" xfId="0" applyFont="1" applyBorder="1" applyAlignment="1">
      <alignment horizontal="center" wrapText="1"/>
    </xf>
    <xf numFmtId="0" fontId="3" fillId="0" borderId="28" xfId="0" applyFont="1" applyBorder="1" applyAlignment="1">
      <alignment horizontal="center" wrapText="1"/>
    </xf>
    <xf numFmtId="0" fontId="3" fillId="0" borderId="29" xfId="0" applyFont="1" applyBorder="1" applyAlignment="1">
      <alignment horizontal="center" wrapText="1"/>
    </xf>
    <xf numFmtId="0" fontId="3" fillId="0" borderId="30" xfId="0" applyFont="1" applyBorder="1" applyAlignment="1">
      <alignment horizontal="center" wrapText="1"/>
    </xf>
    <xf numFmtId="0" fontId="0" fillId="20" borderId="0" xfId="0" applyFill="1" applyAlignment="1">
      <alignment horizontal="center"/>
    </xf>
    <xf numFmtId="0" fontId="3" fillId="20" borderId="0" xfId="0" applyFont="1" applyFill="1" applyAlignment="1">
      <alignment horizontal="center"/>
    </xf>
    <xf numFmtId="0" fontId="11" fillId="0" borderId="0" xfId="0" applyFont="1" applyAlignment="1">
      <alignment wrapText="1"/>
    </xf>
    <xf numFmtId="0" fontId="3" fillId="0" borderId="0" xfId="0" applyFont="1" applyAlignment="1">
      <alignment horizontal="center"/>
    </xf>
    <xf numFmtId="0" fontId="0" fillId="0" borderId="0" xfId="0" applyAlignment="1">
      <alignment horizontal="center"/>
    </xf>
    <xf numFmtId="8" fontId="3" fillId="20" borderId="0" xfId="2" applyNumberFormat="1" applyFont="1" applyFill="1" applyAlignment="1">
      <alignment horizontal="center"/>
    </xf>
    <xf numFmtId="8" fontId="4" fillId="18" borderId="3" xfId="0" applyNumberFormat="1" applyFont="1" applyFill="1" applyBorder="1" applyProtection="1"/>
    <xf numFmtId="8" fontId="4" fillId="18" borderId="5" xfId="0" applyNumberFormat="1" applyFont="1" applyFill="1" applyBorder="1" applyProtection="1"/>
    <xf numFmtId="0" fontId="3" fillId="0" borderId="0" xfId="0" applyFont="1" applyAlignment="1" applyProtection="1">
      <alignment horizontal="center"/>
      <protection locked="0"/>
    </xf>
    <xf numFmtId="44" fontId="4" fillId="18" borderId="0" xfId="2" applyFont="1" applyFill="1" applyBorder="1" applyAlignment="1" applyProtection="1"/>
    <xf numFmtId="0" fontId="3" fillId="14" borderId="8" xfId="0" applyFont="1" applyFill="1" applyBorder="1" applyAlignment="1" applyProtection="1">
      <alignment horizontal="center" vertical="center" textRotation="180"/>
    </xf>
    <xf numFmtId="0" fontId="3" fillId="14" borderId="9" xfId="0" applyFont="1" applyFill="1" applyBorder="1" applyAlignment="1" applyProtection="1">
      <alignment horizontal="center" vertical="center" textRotation="180"/>
    </xf>
    <xf numFmtId="0" fontId="3" fillId="14" borderId="10" xfId="0" applyFont="1" applyFill="1" applyBorder="1" applyAlignment="1" applyProtection="1">
      <alignment horizontal="center" vertical="center" textRotation="180"/>
    </xf>
    <xf numFmtId="0" fontId="3" fillId="10" borderId="8" xfId="0" applyFont="1" applyFill="1" applyBorder="1" applyAlignment="1" applyProtection="1">
      <alignment horizontal="center" vertical="center" textRotation="180"/>
    </xf>
    <xf numFmtId="0" fontId="3" fillId="10" borderId="9" xfId="0" applyFont="1" applyFill="1" applyBorder="1" applyAlignment="1" applyProtection="1">
      <alignment horizontal="center" vertical="center" textRotation="180"/>
    </xf>
    <xf numFmtId="0" fontId="3" fillId="10" borderId="10" xfId="0" applyFont="1" applyFill="1" applyBorder="1" applyAlignment="1" applyProtection="1">
      <alignment horizontal="center" vertical="center" textRotation="180"/>
    </xf>
    <xf numFmtId="8" fontId="3" fillId="22" borderId="8" xfId="2" applyNumberFormat="1" applyFont="1" applyFill="1" applyBorder="1" applyAlignment="1" applyProtection="1">
      <alignment horizontal="center" vertical="center" textRotation="180"/>
    </xf>
    <xf numFmtId="8" fontId="3" fillId="22" borderId="9" xfId="2" applyNumberFormat="1" applyFont="1" applyFill="1" applyBorder="1" applyAlignment="1" applyProtection="1">
      <alignment horizontal="center" vertical="center" textRotation="180"/>
    </xf>
    <xf numFmtId="8" fontId="3" fillId="22" borderId="10" xfId="2" applyNumberFormat="1" applyFont="1" applyFill="1" applyBorder="1" applyAlignment="1" applyProtection="1">
      <alignment horizontal="center" vertical="center" textRotation="180"/>
    </xf>
    <xf numFmtId="0" fontId="4" fillId="9" borderId="8" xfId="0" applyFont="1" applyFill="1" applyBorder="1" applyAlignment="1" applyProtection="1">
      <alignment horizontal="center" vertical="center" textRotation="180"/>
    </xf>
    <xf numFmtId="0" fontId="4" fillId="9" borderId="9" xfId="0" applyFont="1" applyFill="1" applyBorder="1" applyAlignment="1" applyProtection="1">
      <alignment horizontal="center" vertical="center" textRotation="180"/>
    </xf>
    <xf numFmtId="0" fontId="4" fillId="9" borderId="10" xfId="0" applyFont="1" applyFill="1" applyBorder="1" applyAlignment="1" applyProtection="1">
      <alignment horizontal="center" vertical="center" textRotation="180"/>
    </xf>
    <xf numFmtId="0" fontId="3" fillId="11" borderId="8" xfId="0" applyFont="1" applyFill="1" applyBorder="1" applyAlignment="1" applyProtection="1">
      <alignment horizontal="center" vertical="center" textRotation="180"/>
    </xf>
    <xf numFmtId="0" fontId="3" fillId="11" borderId="9" xfId="0" applyFont="1" applyFill="1" applyBorder="1" applyAlignment="1" applyProtection="1">
      <alignment horizontal="center" vertical="center" textRotation="180"/>
    </xf>
    <xf numFmtId="0" fontId="3" fillId="11" borderId="10" xfId="0" applyFont="1" applyFill="1" applyBorder="1" applyAlignment="1" applyProtection="1">
      <alignment horizontal="center" vertical="center" textRotation="180"/>
    </xf>
    <xf numFmtId="0" fontId="3" fillId="19" borderId="8" xfId="0" applyFont="1" applyFill="1" applyBorder="1" applyAlignment="1" applyProtection="1">
      <alignment horizontal="center" vertical="center" textRotation="180"/>
    </xf>
    <xf numFmtId="0" fontId="3" fillId="19" borderId="9" xfId="0" applyFont="1" applyFill="1" applyBorder="1" applyAlignment="1" applyProtection="1">
      <alignment horizontal="center" vertical="center" textRotation="180"/>
    </xf>
    <xf numFmtId="0" fontId="3" fillId="19" borderId="10" xfId="0" applyFont="1" applyFill="1" applyBorder="1" applyAlignment="1" applyProtection="1">
      <alignment horizontal="center" vertical="center" textRotation="180"/>
    </xf>
    <xf numFmtId="0" fontId="3" fillId="4" borderId="8" xfId="0" applyFont="1" applyFill="1" applyBorder="1" applyAlignment="1" applyProtection="1">
      <alignment horizontal="center" vertical="center" textRotation="180"/>
    </xf>
    <xf numFmtId="0" fontId="3" fillId="4" borderId="9" xfId="0" applyFont="1" applyFill="1" applyBorder="1" applyAlignment="1" applyProtection="1">
      <alignment horizontal="center" vertical="center" textRotation="180"/>
    </xf>
    <xf numFmtId="0" fontId="3" fillId="4" borderId="10" xfId="0" applyFont="1" applyFill="1" applyBorder="1" applyAlignment="1" applyProtection="1">
      <alignment horizontal="center" vertical="center" textRotation="180"/>
    </xf>
    <xf numFmtId="0" fontId="3" fillId="2" borderId="8" xfId="0" applyFont="1" applyFill="1" applyBorder="1" applyAlignment="1" applyProtection="1">
      <alignment horizontal="center" vertical="center" textRotation="180"/>
    </xf>
    <xf numFmtId="0" fontId="3" fillId="2" borderId="9" xfId="0" applyFont="1" applyFill="1" applyBorder="1" applyAlignment="1" applyProtection="1">
      <alignment horizontal="center" vertical="center" textRotation="180"/>
    </xf>
    <xf numFmtId="0" fontId="3" fillId="2" borderId="10" xfId="0" applyFont="1" applyFill="1" applyBorder="1" applyAlignment="1" applyProtection="1">
      <alignment horizontal="center" vertical="center" textRotation="180"/>
    </xf>
    <xf numFmtId="0" fontId="3" fillId="5" borderId="8" xfId="0" applyFont="1" applyFill="1" applyBorder="1" applyAlignment="1" applyProtection="1">
      <alignment horizontal="center" vertical="center" textRotation="180"/>
    </xf>
    <xf numFmtId="0" fontId="3" fillId="5" borderId="9" xfId="0" applyFont="1" applyFill="1" applyBorder="1" applyAlignment="1" applyProtection="1">
      <alignment horizontal="center" vertical="center" textRotation="180"/>
    </xf>
    <xf numFmtId="0" fontId="3" fillId="5" borderId="10" xfId="0" applyFont="1" applyFill="1" applyBorder="1" applyAlignment="1" applyProtection="1">
      <alignment horizontal="center" vertical="center" textRotation="180"/>
    </xf>
    <xf numFmtId="8" fontId="4" fillId="18" borderId="8" xfId="0" applyNumberFormat="1" applyFont="1" applyFill="1" applyBorder="1" applyAlignment="1" applyProtection="1">
      <alignment horizontal="center" vertical="center" textRotation="180"/>
    </xf>
    <xf numFmtId="8" fontId="4" fillId="18" borderId="9" xfId="0" applyNumberFormat="1" applyFont="1" applyFill="1" applyBorder="1" applyAlignment="1" applyProtection="1">
      <alignment horizontal="center" vertical="center" textRotation="180"/>
    </xf>
    <xf numFmtId="8" fontId="4" fillId="18" borderId="10" xfId="0" applyNumberFormat="1" applyFont="1" applyFill="1" applyBorder="1" applyAlignment="1" applyProtection="1">
      <alignment horizontal="center" vertical="center" textRotation="180"/>
    </xf>
    <xf numFmtId="0" fontId="3" fillId="12" borderId="8" xfId="0" applyFont="1" applyFill="1" applyBorder="1" applyAlignment="1" applyProtection="1">
      <alignment horizontal="center" vertical="center" textRotation="180"/>
    </xf>
    <xf numFmtId="0" fontId="3" fillId="12" borderId="9" xfId="0" applyFont="1" applyFill="1" applyBorder="1" applyAlignment="1" applyProtection="1">
      <alignment horizontal="center" vertical="center" textRotation="180"/>
    </xf>
    <xf numFmtId="0" fontId="3" fillId="12" borderId="10" xfId="0" applyFont="1" applyFill="1" applyBorder="1" applyAlignment="1" applyProtection="1">
      <alignment horizontal="center" vertical="center" textRotation="180"/>
    </xf>
    <xf numFmtId="0" fontId="3" fillId="15" borderId="2" xfId="0" applyFont="1" applyFill="1" applyBorder="1" applyProtection="1"/>
    <xf numFmtId="0" fontId="3" fillId="4" borderId="8" xfId="0" applyFont="1" applyFill="1" applyBorder="1" applyAlignment="1" applyProtection="1">
      <alignment horizontal="center" vertical="center" textRotation="90"/>
    </xf>
    <xf numFmtId="0" fontId="3" fillId="4" borderId="9" xfId="0" applyFont="1" applyFill="1" applyBorder="1" applyAlignment="1" applyProtection="1">
      <alignment horizontal="center" vertical="center" textRotation="90"/>
    </xf>
    <xf numFmtId="0" fontId="3" fillId="4" borderId="10" xfId="0" applyFont="1" applyFill="1" applyBorder="1" applyAlignment="1" applyProtection="1">
      <alignment horizontal="center" vertical="center" textRotation="90"/>
    </xf>
    <xf numFmtId="0" fontId="3" fillId="2" borderId="8" xfId="0" applyFont="1" applyFill="1" applyBorder="1" applyAlignment="1" applyProtection="1">
      <alignment horizontal="center" vertical="center" textRotation="90"/>
    </xf>
    <xf numFmtId="0" fontId="3" fillId="2" borderId="9" xfId="0" applyFont="1" applyFill="1" applyBorder="1" applyAlignment="1" applyProtection="1">
      <alignment horizontal="center" vertical="center" textRotation="90"/>
    </xf>
    <xf numFmtId="0" fontId="3" fillId="2" borderId="10" xfId="0" applyFont="1" applyFill="1" applyBorder="1" applyAlignment="1" applyProtection="1">
      <alignment horizontal="center" vertical="center" textRotation="90"/>
    </xf>
    <xf numFmtId="0" fontId="3" fillId="5" borderId="8" xfId="0" applyFont="1" applyFill="1" applyBorder="1" applyAlignment="1" applyProtection="1">
      <alignment horizontal="center" vertical="center" textRotation="90"/>
    </xf>
    <xf numFmtId="0" fontId="3" fillId="5" borderId="9" xfId="0" applyFont="1" applyFill="1" applyBorder="1" applyAlignment="1" applyProtection="1">
      <alignment horizontal="center" vertical="center" textRotation="90"/>
    </xf>
    <xf numFmtId="0" fontId="3" fillId="5" borderId="10" xfId="0" applyFont="1" applyFill="1" applyBorder="1" applyAlignment="1" applyProtection="1">
      <alignment horizontal="center" vertical="center" textRotation="90"/>
    </xf>
    <xf numFmtId="8" fontId="4" fillId="18" borderId="8" xfId="0" applyNumberFormat="1" applyFont="1" applyFill="1" applyBorder="1" applyAlignment="1" applyProtection="1">
      <alignment horizontal="center" vertical="center" textRotation="90"/>
    </xf>
    <xf numFmtId="8" fontId="4" fillId="18" borderId="9" xfId="0" applyNumberFormat="1" applyFont="1" applyFill="1" applyBorder="1" applyAlignment="1" applyProtection="1">
      <alignment horizontal="center" vertical="center" textRotation="90"/>
    </xf>
    <xf numFmtId="8" fontId="4" fillId="18" borderId="10" xfId="0" applyNumberFormat="1" applyFont="1" applyFill="1" applyBorder="1" applyAlignment="1" applyProtection="1">
      <alignment horizontal="center" vertical="center" textRotation="90"/>
    </xf>
    <xf numFmtId="0" fontId="3" fillId="14" borderId="8" xfId="0" applyFont="1" applyFill="1" applyBorder="1" applyAlignment="1" applyProtection="1">
      <alignment horizontal="center" vertical="center" textRotation="90"/>
    </xf>
    <xf numFmtId="0" fontId="3" fillId="14" borderId="9" xfId="0" applyFont="1" applyFill="1" applyBorder="1" applyAlignment="1" applyProtection="1">
      <alignment horizontal="center" vertical="center" textRotation="90"/>
    </xf>
    <xf numFmtId="0" fontId="3" fillId="14" borderId="10" xfId="0" applyFont="1" applyFill="1" applyBorder="1" applyAlignment="1" applyProtection="1">
      <alignment horizontal="center" vertical="center" textRotation="90"/>
    </xf>
    <xf numFmtId="0" fontId="4" fillId="9" borderId="8" xfId="0" applyFont="1" applyFill="1" applyBorder="1" applyAlignment="1" applyProtection="1">
      <alignment horizontal="center" vertical="center" textRotation="90"/>
    </xf>
    <xf numFmtId="0" fontId="4" fillId="9" borderId="9" xfId="0" applyFont="1" applyFill="1" applyBorder="1" applyAlignment="1" applyProtection="1">
      <alignment horizontal="center" vertical="center" textRotation="90"/>
    </xf>
    <xf numFmtId="0" fontId="4" fillId="9" borderId="10" xfId="0" applyFont="1" applyFill="1" applyBorder="1" applyAlignment="1" applyProtection="1">
      <alignment horizontal="center" vertical="center" textRotation="90"/>
    </xf>
    <xf numFmtId="0" fontId="3" fillId="12" borderId="8" xfId="0" applyFont="1" applyFill="1" applyBorder="1" applyAlignment="1" applyProtection="1">
      <alignment horizontal="center" vertical="center" textRotation="90"/>
    </xf>
    <xf numFmtId="0" fontId="3" fillId="12" borderId="9" xfId="0" applyFont="1" applyFill="1" applyBorder="1" applyAlignment="1" applyProtection="1">
      <alignment horizontal="center" vertical="center" textRotation="90"/>
    </xf>
    <xf numFmtId="0" fontId="3" fillId="12" borderId="10" xfId="0" applyFont="1" applyFill="1" applyBorder="1" applyAlignment="1" applyProtection="1">
      <alignment horizontal="center" vertical="center" textRotation="90"/>
    </xf>
    <xf numFmtId="0" fontId="3" fillId="10" borderId="8" xfId="0" applyFont="1" applyFill="1" applyBorder="1" applyAlignment="1" applyProtection="1">
      <alignment horizontal="center" vertical="center" textRotation="90"/>
    </xf>
    <xf numFmtId="0" fontId="3" fillId="10" borderId="9" xfId="0" applyFont="1" applyFill="1" applyBorder="1" applyAlignment="1" applyProtection="1">
      <alignment horizontal="center" vertical="center" textRotation="90"/>
    </xf>
    <xf numFmtId="0" fontId="3" fillId="10" borderId="10" xfId="0" applyFont="1" applyFill="1" applyBorder="1" applyAlignment="1" applyProtection="1">
      <alignment horizontal="center" vertical="center" textRotation="90"/>
    </xf>
    <xf numFmtId="8" fontId="3" fillId="22" borderId="8" xfId="2" applyNumberFormat="1" applyFont="1" applyFill="1" applyBorder="1" applyAlignment="1" applyProtection="1">
      <alignment horizontal="center" vertical="center" textRotation="90"/>
    </xf>
    <xf numFmtId="8" fontId="3" fillId="22" borderId="9" xfId="2" applyNumberFormat="1" applyFont="1" applyFill="1" applyBorder="1" applyAlignment="1" applyProtection="1">
      <alignment horizontal="center" vertical="center" textRotation="90"/>
    </xf>
    <xf numFmtId="8" fontId="3" fillId="22" borderId="10" xfId="2" applyNumberFormat="1" applyFont="1" applyFill="1" applyBorder="1" applyAlignment="1" applyProtection="1">
      <alignment horizontal="center" vertical="center" textRotation="90"/>
    </xf>
    <xf numFmtId="0" fontId="3" fillId="11" borderId="8" xfId="0" applyFont="1" applyFill="1" applyBorder="1" applyAlignment="1" applyProtection="1">
      <alignment horizontal="center" vertical="center" textRotation="90"/>
    </xf>
    <xf numFmtId="0" fontId="3" fillId="11" borderId="9" xfId="0" applyFont="1" applyFill="1" applyBorder="1" applyAlignment="1" applyProtection="1">
      <alignment horizontal="center" vertical="center" textRotation="90"/>
    </xf>
    <xf numFmtId="0" fontId="3" fillId="11" borderId="10" xfId="0" applyFont="1" applyFill="1" applyBorder="1" applyAlignment="1" applyProtection="1">
      <alignment horizontal="center" vertical="center" textRotation="90"/>
    </xf>
    <xf numFmtId="0" fontId="3" fillId="19" borderId="8" xfId="0" applyFont="1" applyFill="1" applyBorder="1" applyAlignment="1" applyProtection="1">
      <alignment horizontal="center" vertical="center" textRotation="90"/>
    </xf>
    <xf numFmtId="0" fontId="3" fillId="19" borderId="9" xfId="0" applyFont="1" applyFill="1" applyBorder="1" applyAlignment="1" applyProtection="1">
      <alignment horizontal="center" vertical="center" textRotation="90"/>
    </xf>
    <xf numFmtId="0" fontId="3" fillId="19" borderId="10" xfId="0" applyFont="1" applyFill="1" applyBorder="1" applyAlignment="1" applyProtection="1">
      <alignment horizontal="center" vertical="center" textRotation="90"/>
    </xf>
    <xf numFmtId="0" fontId="23" fillId="27" borderId="19" xfId="8" applyFill="1" applyBorder="1" applyAlignment="1" applyProtection="1">
      <alignment horizontal="left"/>
      <protection locked="0"/>
    </xf>
    <xf numFmtId="0" fontId="23" fillId="27" borderId="18" xfId="8" applyFill="1" applyBorder="1" applyAlignment="1" applyProtection="1">
      <alignment horizontal="left"/>
      <protection locked="0"/>
    </xf>
    <xf numFmtId="0" fontId="27" fillId="28" borderId="24" xfId="10" applyFont="1" applyBorder="1" applyAlignment="1">
      <alignment horizontal="right"/>
    </xf>
    <xf numFmtId="0" fontId="27" fillId="28" borderId="23" xfId="10" applyFont="1" applyBorder="1" applyAlignment="1">
      <alignment horizontal="right"/>
    </xf>
    <xf numFmtId="0" fontId="27" fillId="28" borderId="22" xfId="10" applyFont="1" applyBorder="1" applyAlignment="1">
      <alignment horizontal="right"/>
    </xf>
    <xf numFmtId="0" fontId="3" fillId="29" borderId="0" xfId="0" applyFont="1" applyFill="1" applyBorder="1" applyAlignment="1">
      <alignment wrapText="1"/>
    </xf>
    <xf numFmtId="0" fontId="3" fillId="29" borderId="31" xfId="0" applyFont="1" applyFill="1" applyBorder="1" applyAlignment="1">
      <alignment horizontal="left" wrapText="1"/>
    </xf>
    <xf numFmtId="0" fontId="3" fillId="29" borderId="0" xfId="0" applyFont="1" applyFill="1" applyAlignment="1">
      <alignment horizontal="left" wrapText="1"/>
    </xf>
    <xf numFmtId="0" fontId="0" fillId="9" borderId="0" xfId="0" applyFill="1"/>
    <xf numFmtId="0" fontId="3" fillId="29" borderId="0" xfId="0" applyFont="1" applyFill="1" applyAlignment="1">
      <alignment vertical="top" wrapText="1"/>
    </xf>
    <xf numFmtId="0" fontId="3" fillId="29" borderId="35" xfId="0" applyFont="1" applyFill="1" applyBorder="1" applyAlignment="1">
      <alignment vertical="top" wrapText="1"/>
    </xf>
  </cellXfs>
  <cellStyles count="13">
    <cellStyle name="20% - Accent3 2" xfId="10" xr:uid="{6317E220-DB81-4CC1-B552-F49014D21103}"/>
    <cellStyle name="Calculation 2" xfId="12" xr:uid="{F0E64426-484C-47F1-9435-85E71DED3FE5}"/>
    <cellStyle name="Comma" xfId="1" builtinId="3"/>
    <cellStyle name="Currency" xfId="2" builtinId="4"/>
    <cellStyle name="Currency 2" xfId="9" xr:uid="{57DD4B07-81C5-4A82-B978-8EAEA414478C}"/>
    <cellStyle name="Heading 1" xfId="6" builtinId="16"/>
    <cellStyle name="Heading 2" xfId="7" builtinId="17"/>
    <cellStyle name="Input 2" xfId="11" xr:uid="{7B54DFEC-5DEC-4967-8FB4-A4301BD18369}"/>
    <cellStyle name="Normal" xfId="0" builtinId="0"/>
    <cellStyle name="Normal 2" xfId="3" xr:uid="{00000000-0005-0000-0000-000003000000}"/>
    <cellStyle name="Normal 3" xfId="5" xr:uid="{CC87F217-2B32-44D8-B009-C779AA79DE8B}"/>
    <cellStyle name="Normal 4" xfId="8" xr:uid="{F4EE8290-594B-434B-98F4-94DDD730BA00}"/>
    <cellStyle name="Percent" xfId="4" builtinId="5"/>
  </cellStyles>
  <dxfs count="18">
    <dxf>
      <font>
        <color rgb="FF00B0F0"/>
      </font>
      <fill>
        <patternFill>
          <bgColor theme="1"/>
        </patternFill>
      </fill>
    </dxf>
    <dxf>
      <font>
        <color rgb="FF92D050"/>
      </font>
      <fill>
        <patternFill>
          <bgColor theme="1"/>
        </patternFill>
      </fill>
    </dxf>
    <dxf>
      <font>
        <color rgb="FFC00000"/>
      </font>
      <fill>
        <patternFill>
          <bgColor theme="1"/>
        </patternFill>
      </fill>
    </dxf>
    <dxf>
      <font>
        <color auto="1"/>
      </font>
      <fill>
        <patternFill>
          <fgColor auto="1"/>
          <bgColor theme="1"/>
        </patternFill>
      </fill>
    </dxf>
    <dxf>
      <font>
        <color rgb="FF92D050"/>
      </font>
      <fill>
        <patternFill>
          <bgColor theme="1"/>
        </patternFill>
      </fill>
    </dxf>
    <dxf>
      <fill>
        <patternFill patternType="solid">
          <fgColor indexed="64"/>
          <bgColor indexed="26"/>
        </patternFill>
      </fill>
    </dxf>
    <dxf>
      <fill>
        <patternFill patternType="solid">
          <fgColor indexed="64"/>
          <bgColor indexed="26"/>
        </patternFill>
      </fill>
      <border diagonalUp="0" diagonalDown="0">
        <left/>
        <right/>
        <top/>
        <bottom style="thin">
          <color indexed="22"/>
        </bottom>
      </border>
    </dxf>
    <dxf>
      <font>
        <color indexed="9"/>
      </font>
      <fill>
        <patternFill patternType="solid">
          <fgColor indexed="64"/>
          <bgColor indexed="9"/>
        </patternFill>
      </fill>
    </dxf>
    <dxf>
      <fill>
        <patternFill patternType="solid">
          <fgColor indexed="64"/>
          <bgColor indexed="26"/>
        </patternFill>
      </fill>
    </dxf>
    <dxf>
      <fill>
        <patternFill patternType="solid">
          <fgColor indexed="64"/>
          <bgColor indexed="26"/>
        </patternFill>
      </fill>
      <border diagonalUp="0" diagonalDown="0">
        <left/>
        <right/>
        <top/>
        <bottom style="thin">
          <color indexed="22"/>
        </bottom>
      </border>
    </dxf>
    <dxf>
      <font>
        <color indexed="9"/>
      </font>
      <fill>
        <patternFill patternType="solid">
          <fgColor indexed="64"/>
          <bgColor indexed="9"/>
        </patternFill>
      </fill>
    </dxf>
    <dxf>
      <font>
        <color theme="0"/>
      </font>
    </dxf>
    <dxf>
      <font>
        <color rgb="FF9C6500"/>
      </font>
      <fill>
        <patternFill>
          <bgColor rgb="FFFFEB9C"/>
        </patternFill>
      </fill>
    </dxf>
    <dxf>
      <font>
        <color rgb="FF9C6500"/>
      </font>
      <fill>
        <patternFill>
          <bgColor rgb="FFFFEB9C"/>
        </patternFill>
      </fill>
    </dxf>
    <dxf>
      <fill>
        <patternFill>
          <bgColor rgb="FF92D050"/>
        </patternFill>
      </fill>
    </dxf>
    <dxf>
      <fill>
        <patternFill patternType="solid">
          <bgColor rgb="FFFFC000"/>
        </patternFill>
      </fill>
    </dxf>
    <dxf>
      <fill>
        <patternFill>
          <bgColor rgb="FF92D050"/>
        </patternFill>
      </fill>
    </dxf>
    <dxf>
      <fill>
        <patternFill patternType="solid">
          <bgColor rgb="FFFFC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US"/>
              <a:t>Year Trend</a:t>
            </a:r>
          </a:p>
        </c:rich>
      </c:tx>
      <c:overlay val="0"/>
      <c:spPr>
        <a:noFill/>
        <a:ln>
          <a:noFill/>
        </a:ln>
        <a:effectLst/>
      </c:spPr>
    </c:title>
    <c:autoTitleDeleted val="0"/>
    <c:plotArea>
      <c:layout/>
      <c:lineChart>
        <c:grouping val="standard"/>
        <c:varyColors val="0"/>
        <c:ser>
          <c:idx val="0"/>
          <c:order val="0"/>
          <c:spPr>
            <a:ln w="34925" cap="rnd">
              <a:solidFill>
                <a:schemeClr val="lt1"/>
              </a:solidFill>
              <a:round/>
            </a:ln>
            <a:effectLst>
              <a:outerShdw dist="25400" dir="2700000" algn="tl" rotWithShape="0">
                <a:schemeClr val="accent1"/>
              </a:outerShdw>
            </a:effectLst>
          </c:spPr>
          <c:marker>
            <c:symbol val="none"/>
          </c:marker>
          <c:trendline>
            <c:spPr>
              <a:ln w="28575" cap="rnd">
                <a:solidFill>
                  <a:schemeClr val="lt1">
                    <a:alpha val="50000"/>
                  </a:schemeClr>
                </a:solidFill>
                <a:round/>
              </a:ln>
              <a:effectLst/>
            </c:spPr>
            <c:trendlineType val="linear"/>
            <c:dispRSqr val="0"/>
            <c:dispEq val="0"/>
          </c:trendline>
          <c:cat>
            <c:strRef>
              <c:f>'Monthly Rundown'!$Z$13:$Z$24</c:f>
              <c:strCache>
                <c:ptCount val="12"/>
                <c:pt idx="0">
                  <c:v>Jan-2020</c:v>
                </c:pt>
                <c:pt idx="1">
                  <c:v>Feb-2020</c:v>
                </c:pt>
                <c:pt idx="2">
                  <c:v>Mar-2020</c:v>
                </c:pt>
                <c:pt idx="3">
                  <c:v>Apr-2020</c:v>
                </c:pt>
                <c:pt idx="4">
                  <c:v>May-2020</c:v>
                </c:pt>
                <c:pt idx="5">
                  <c:v>Jun-2020</c:v>
                </c:pt>
                <c:pt idx="6">
                  <c:v>Jul-2020</c:v>
                </c:pt>
                <c:pt idx="7">
                  <c:v>Aug-2020</c:v>
                </c:pt>
                <c:pt idx="8">
                  <c:v>Sep-2020</c:v>
                </c:pt>
                <c:pt idx="9">
                  <c:v>Oct-2020</c:v>
                </c:pt>
                <c:pt idx="10">
                  <c:v>Nov-2020</c:v>
                </c:pt>
                <c:pt idx="11">
                  <c:v>Dec-2020</c:v>
                </c:pt>
              </c:strCache>
            </c:strRef>
          </c:cat>
          <c:val>
            <c:numRef>
              <c:f>'Monthly Rundown'!$AA$13:$AA$24</c:f>
              <c:numCache>
                <c:formatCode>"$"#,##0.00_);[Red]\("$"#,##0.00\)</c:formatCode>
                <c:ptCount val="12"/>
                <c:pt idx="0">
                  <c:v>10741</c:v>
                </c:pt>
                <c:pt idx="1">
                  <c:v>10741</c:v>
                </c:pt>
                <c:pt idx="2">
                  <c:v>10741</c:v>
                </c:pt>
                <c:pt idx="3">
                  <c:v>10741</c:v>
                </c:pt>
                <c:pt idx="4">
                  <c:v>7007.01</c:v>
                </c:pt>
                <c:pt idx="5">
                  <c:v>7953.02</c:v>
                </c:pt>
                <c:pt idx="6">
                  <c:v>8752.89</c:v>
                </c:pt>
                <c:pt idx="7">
                  <c:v>11773.9</c:v>
                </c:pt>
                <c:pt idx="8">
                  <c:v>12719.91</c:v>
                </c:pt>
                <c:pt idx="9">
                  <c:v>13645.92</c:v>
                </c:pt>
                <c:pt idx="10">
                  <c:v>14591.929999999998</c:v>
                </c:pt>
                <c:pt idx="11">
                  <c:v>15827.99</c:v>
                </c:pt>
              </c:numCache>
            </c:numRef>
          </c:val>
          <c:smooth val="0"/>
          <c:extLst>
            <c:ext xmlns:c16="http://schemas.microsoft.com/office/drawing/2014/chart" uri="{C3380CC4-5D6E-409C-BE32-E72D297353CC}">
              <c16:uniqueId val="{00000000-C7E8-4288-BD6A-01303127CB69}"/>
            </c:ext>
          </c:extLst>
        </c:ser>
        <c:dLbls>
          <c:showLegendKey val="0"/>
          <c:showVal val="0"/>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smooth val="0"/>
        <c:axId val="1730353792"/>
        <c:axId val="1730356512"/>
      </c:lineChart>
      <c:catAx>
        <c:axId val="1730353792"/>
        <c:scaling>
          <c:orientation val="minMax"/>
        </c:scaling>
        <c:delete val="0"/>
        <c:axPos val="b"/>
        <c:numFmt formatCode="General" sourceLinked="1"/>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en-US"/>
          </a:p>
        </c:txPr>
        <c:crossAx val="1730356512"/>
        <c:crosses val="autoZero"/>
        <c:auto val="1"/>
        <c:lblAlgn val="ctr"/>
        <c:lblOffset val="100"/>
        <c:noMultiLvlLbl val="0"/>
      </c:catAx>
      <c:valAx>
        <c:axId val="1730356512"/>
        <c:scaling>
          <c:orientation val="minMax"/>
        </c:scaling>
        <c:delete val="0"/>
        <c:axPos val="l"/>
        <c:numFmt formatCode="&quot;$&quot;#,##0.00_);[Red]\(&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1730353792"/>
        <c:crosses val="autoZero"/>
        <c:crossBetween val="between"/>
      </c:valAx>
      <c:spPr>
        <a:noFill/>
        <a:ln>
          <a:noFill/>
        </a:ln>
        <a:effectLst/>
      </c:spPr>
    </c:plotArea>
    <c:plotVisOnly val="1"/>
    <c:dispBlanksAs val="gap"/>
    <c:showDLblsOverMax val="0"/>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7</xdr:col>
      <xdr:colOff>19050</xdr:colOff>
      <xdr:row>9</xdr:row>
      <xdr:rowOff>114300</xdr:rowOff>
    </xdr:from>
    <xdr:to>
      <xdr:col>9</xdr:col>
      <xdr:colOff>647958</xdr:colOff>
      <xdr:row>19</xdr:row>
      <xdr:rowOff>124054</xdr:rowOff>
    </xdr:to>
    <xdr:pic>
      <xdr:nvPicPr>
        <xdr:cNvPr id="5" name="Picture 4">
          <a:extLst>
            <a:ext uri="{FF2B5EF4-FFF2-40B4-BE49-F238E27FC236}">
              <a16:creationId xmlns:a16="http://schemas.microsoft.com/office/drawing/2014/main" id="{5EEEBE59-C66A-48F2-BBFF-21F2A41212E8}"/>
            </a:ext>
          </a:extLst>
        </xdr:cNvPr>
        <xdr:cNvPicPr>
          <a:picLocks noChangeAspect="1"/>
        </xdr:cNvPicPr>
      </xdr:nvPicPr>
      <xdr:blipFill>
        <a:blip xmlns:r="http://schemas.openxmlformats.org/officeDocument/2006/relationships" r:embed="rId1"/>
        <a:stretch>
          <a:fillRect/>
        </a:stretch>
      </xdr:blipFill>
      <xdr:spPr>
        <a:xfrm>
          <a:off x="4286250" y="3819525"/>
          <a:ext cx="1848108" cy="1638529"/>
        </a:xfrm>
        <a:prstGeom prst="rect">
          <a:avLst/>
        </a:prstGeom>
      </xdr:spPr>
    </xdr:pic>
    <xdr:clientData/>
  </xdr:twoCellAnchor>
  <xdr:twoCellAnchor>
    <xdr:from>
      <xdr:col>5</xdr:col>
      <xdr:colOff>238125</xdr:colOff>
      <xdr:row>29</xdr:row>
      <xdr:rowOff>47625</xdr:rowOff>
    </xdr:from>
    <xdr:to>
      <xdr:col>9</xdr:col>
      <xdr:colOff>400413</xdr:colOff>
      <xdr:row>45</xdr:row>
      <xdr:rowOff>124199</xdr:rowOff>
    </xdr:to>
    <xdr:pic>
      <xdr:nvPicPr>
        <xdr:cNvPr id="7" name="Picture 6">
          <a:extLst>
            <a:ext uri="{FF2B5EF4-FFF2-40B4-BE49-F238E27FC236}">
              <a16:creationId xmlns:a16="http://schemas.microsoft.com/office/drawing/2014/main" id="{73FE6851-25B6-43A6-8E20-1583AD7DA531}"/>
            </a:ext>
          </a:extLst>
        </xdr:cNvPr>
        <xdr:cNvPicPr>
          <a:picLocks noChangeAspect="1"/>
        </xdr:cNvPicPr>
      </xdr:nvPicPr>
      <xdr:blipFill>
        <a:blip xmlns:r="http://schemas.openxmlformats.org/officeDocument/2006/relationships" r:embed="rId2"/>
        <a:stretch>
          <a:fillRect/>
        </a:stretch>
      </xdr:blipFill>
      <xdr:spPr>
        <a:xfrm>
          <a:off x="3286125" y="6343650"/>
          <a:ext cx="2600688" cy="2676899"/>
        </a:xfrm>
        <a:prstGeom prst="rect">
          <a:avLst/>
        </a:prstGeom>
      </xdr:spPr>
    </xdr:pic>
    <xdr:clientData/>
  </xdr:twoCellAnchor>
  <xdr:twoCellAnchor>
    <xdr:from>
      <xdr:col>2</xdr:col>
      <xdr:colOff>190500</xdr:colOff>
      <xdr:row>18</xdr:row>
      <xdr:rowOff>95250</xdr:rowOff>
    </xdr:from>
    <xdr:to>
      <xdr:col>5</xdr:col>
      <xdr:colOff>228861</xdr:colOff>
      <xdr:row>21</xdr:row>
      <xdr:rowOff>61</xdr:rowOff>
    </xdr:to>
    <xdr:pic>
      <xdr:nvPicPr>
        <xdr:cNvPr id="8" name="Picture 7">
          <a:extLst>
            <a:ext uri="{FF2B5EF4-FFF2-40B4-BE49-F238E27FC236}">
              <a16:creationId xmlns:a16="http://schemas.microsoft.com/office/drawing/2014/main" id="{FC3F79A9-6271-415E-8D87-92D2DC4C0DA7}"/>
            </a:ext>
          </a:extLst>
        </xdr:cNvPr>
        <xdr:cNvPicPr>
          <a:picLocks noChangeAspect="1"/>
        </xdr:cNvPicPr>
      </xdr:nvPicPr>
      <xdr:blipFill>
        <a:blip xmlns:r="http://schemas.openxmlformats.org/officeDocument/2006/relationships" r:embed="rId3"/>
        <a:stretch>
          <a:fillRect/>
        </a:stretch>
      </xdr:blipFill>
      <xdr:spPr>
        <a:xfrm>
          <a:off x="1409700" y="5943600"/>
          <a:ext cx="1867161" cy="438211"/>
        </a:xfrm>
        <a:prstGeom prst="rect">
          <a:avLst/>
        </a:prstGeom>
      </xdr:spPr>
    </xdr:pic>
    <xdr:clientData/>
  </xdr:twoCellAnchor>
  <xdr:twoCellAnchor>
    <xdr:from>
      <xdr:col>5</xdr:col>
      <xdr:colOff>76200</xdr:colOff>
      <xdr:row>76</xdr:row>
      <xdr:rowOff>9525</xdr:rowOff>
    </xdr:from>
    <xdr:to>
      <xdr:col>9</xdr:col>
      <xdr:colOff>552857</xdr:colOff>
      <xdr:row>85</xdr:row>
      <xdr:rowOff>152625</xdr:rowOff>
    </xdr:to>
    <xdr:pic>
      <xdr:nvPicPr>
        <xdr:cNvPr id="3" name="Picture 2">
          <a:extLst>
            <a:ext uri="{FF2B5EF4-FFF2-40B4-BE49-F238E27FC236}">
              <a16:creationId xmlns:a16="http://schemas.microsoft.com/office/drawing/2014/main" id="{2DDC2E01-E43F-4C4D-A90F-03935D81F020}"/>
            </a:ext>
          </a:extLst>
        </xdr:cNvPr>
        <xdr:cNvPicPr>
          <a:picLocks noChangeAspect="1"/>
        </xdr:cNvPicPr>
      </xdr:nvPicPr>
      <xdr:blipFill>
        <a:blip xmlns:r="http://schemas.openxmlformats.org/officeDocument/2006/relationships" r:embed="rId4"/>
        <a:stretch>
          <a:fillRect/>
        </a:stretch>
      </xdr:blipFill>
      <xdr:spPr>
        <a:xfrm>
          <a:off x="3124200" y="15287625"/>
          <a:ext cx="2915057" cy="1609950"/>
        </a:xfrm>
        <a:prstGeom prst="rect">
          <a:avLst/>
        </a:prstGeom>
      </xdr:spPr>
    </xdr:pic>
    <xdr:clientData/>
  </xdr:twoCellAnchor>
  <xdr:twoCellAnchor>
    <xdr:from>
      <xdr:col>5</xdr:col>
      <xdr:colOff>95250</xdr:colOff>
      <xdr:row>87</xdr:row>
      <xdr:rowOff>28575</xdr:rowOff>
    </xdr:from>
    <xdr:to>
      <xdr:col>9</xdr:col>
      <xdr:colOff>571907</xdr:colOff>
      <xdr:row>97</xdr:row>
      <xdr:rowOff>143118</xdr:rowOff>
    </xdr:to>
    <xdr:pic>
      <xdr:nvPicPr>
        <xdr:cNvPr id="4" name="Picture 3">
          <a:extLst>
            <a:ext uri="{FF2B5EF4-FFF2-40B4-BE49-F238E27FC236}">
              <a16:creationId xmlns:a16="http://schemas.microsoft.com/office/drawing/2014/main" id="{F7EDC7BF-5C81-4377-8D24-B0E8326E0D4A}"/>
            </a:ext>
          </a:extLst>
        </xdr:cNvPr>
        <xdr:cNvPicPr>
          <a:picLocks noChangeAspect="1"/>
        </xdr:cNvPicPr>
      </xdr:nvPicPr>
      <xdr:blipFill>
        <a:blip xmlns:r="http://schemas.openxmlformats.org/officeDocument/2006/relationships" r:embed="rId5"/>
        <a:stretch>
          <a:fillRect/>
        </a:stretch>
      </xdr:blipFill>
      <xdr:spPr>
        <a:xfrm>
          <a:off x="3143250" y="17173575"/>
          <a:ext cx="2915057" cy="1743318"/>
        </a:xfrm>
        <a:prstGeom prst="rect">
          <a:avLst/>
        </a:prstGeom>
      </xdr:spPr>
    </xdr:pic>
    <xdr:clientData/>
  </xdr:twoCellAnchor>
  <xdr:twoCellAnchor>
    <xdr:from>
      <xdr:col>5</xdr:col>
      <xdr:colOff>19050</xdr:colOff>
      <xdr:row>99</xdr:row>
      <xdr:rowOff>38100</xdr:rowOff>
    </xdr:from>
    <xdr:to>
      <xdr:col>9</xdr:col>
      <xdr:colOff>648128</xdr:colOff>
      <xdr:row>109</xdr:row>
      <xdr:rowOff>114538</xdr:rowOff>
    </xdr:to>
    <xdr:pic>
      <xdr:nvPicPr>
        <xdr:cNvPr id="9" name="Picture 8">
          <a:extLst>
            <a:ext uri="{FF2B5EF4-FFF2-40B4-BE49-F238E27FC236}">
              <a16:creationId xmlns:a16="http://schemas.microsoft.com/office/drawing/2014/main" id="{737F36D6-C612-4223-9203-18BF847B0B2A}"/>
            </a:ext>
          </a:extLst>
        </xdr:cNvPr>
        <xdr:cNvPicPr>
          <a:picLocks noChangeAspect="1"/>
        </xdr:cNvPicPr>
      </xdr:nvPicPr>
      <xdr:blipFill>
        <a:blip xmlns:r="http://schemas.openxmlformats.org/officeDocument/2006/relationships" r:embed="rId6"/>
        <a:stretch>
          <a:fillRect/>
        </a:stretch>
      </xdr:blipFill>
      <xdr:spPr>
        <a:xfrm>
          <a:off x="3067050" y="19211925"/>
          <a:ext cx="3067478" cy="1705213"/>
        </a:xfrm>
        <a:prstGeom prst="rect">
          <a:avLst/>
        </a:prstGeom>
      </xdr:spPr>
    </xdr:pic>
    <xdr:clientData/>
  </xdr:twoCellAnchor>
  <xdr:twoCellAnchor>
    <xdr:from>
      <xdr:col>5</xdr:col>
      <xdr:colOff>371475</xdr:colOff>
      <xdr:row>111</xdr:row>
      <xdr:rowOff>28575</xdr:rowOff>
    </xdr:from>
    <xdr:to>
      <xdr:col>9</xdr:col>
      <xdr:colOff>305131</xdr:colOff>
      <xdr:row>121</xdr:row>
      <xdr:rowOff>143118</xdr:rowOff>
    </xdr:to>
    <xdr:pic>
      <xdr:nvPicPr>
        <xdr:cNvPr id="11" name="Picture 10">
          <a:extLst>
            <a:ext uri="{FF2B5EF4-FFF2-40B4-BE49-F238E27FC236}">
              <a16:creationId xmlns:a16="http://schemas.microsoft.com/office/drawing/2014/main" id="{1B4F25BE-DA13-4EDE-8115-981CDEBCC622}"/>
            </a:ext>
          </a:extLst>
        </xdr:cNvPr>
        <xdr:cNvPicPr>
          <a:picLocks noChangeAspect="1"/>
        </xdr:cNvPicPr>
      </xdr:nvPicPr>
      <xdr:blipFill>
        <a:blip xmlns:r="http://schemas.openxmlformats.org/officeDocument/2006/relationships" r:embed="rId7"/>
        <a:stretch>
          <a:fillRect/>
        </a:stretch>
      </xdr:blipFill>
      <xdr:spPr>
        <a:xfrm>
          <a:off x="3419475" y="21231225"/>
          <a:ext cx="2372056" cy="1743318"/>
        </a:xfrm>
        <a:prstGeom prst="rect">
          <a:avLst/>
        </a:prstGeom>
      </xdr:spPr>
    </xdr:pic>
    <xdr:clientData/>
  </xdr:twoCellAnchor>
  <xdr:twoCellAnchor>
    <xdr:from>
      <xdr:col>12</xdr:col>
      <xdr:colOff>238125</xdr:colOff>
      <xdr:row>1</xdr:row>
      <xdr:rowOff>571500</xdr:rowOff>
    </xdr:from>
    <xdr:to>
      <xdr:col>19</xdr:col>
      <xdr:colOff>534037</xdr:colOff>
      <xdr:row>1</xdr:row>
      <xdr:rowOff>2143344</xdr:rowOff>
    </xdr:to>
    <xdr:pic>
      <xdr:nvPicPr>
        <xdr:cNvPr id="13" name="Picture 12">
          <a:extLst>
            <a:ext uri="{FF2B5EF4-FFF2-40B4-BE49-F238E27FC236}">
              <a16:creationId xmlns:a16="http://schemas.microsoft.com/office/drawing/2014/main" id="{FE11CF3A-4781-48FD-86E2-0D36D9F875EE}"/>
            </a:ext>
          </a:extLst>
        </xdr:cNvPr>
        <xdr:cNvPicPr>
          <a:picLocks noChangeAspect="1"/>
        </xdr:cNvPicPr>
      </xdr:nvPicPr>
      <xdr:blipFill>
        <a:blip xmlns:r="http://schemas.openxmlformats.org/officeDocument/2006/relationships" r:embed="rId8"/>
        <a:stretch>
          <a:fillRect/>
        </a:stretch>
      </xdr:blipFill>
      <xdr:spPr>
        <a:xfrm>
          <a:off x="7096125" y="828675"/>
          <a:ext cx="4563112" cy="157184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15</xdr:col>
      <xdr:colOff>228601</xdr:colOff>
      <xdr:row>24</xdr:row>
      <xdr:rowOff>85725</xdr:rowOff>
    </xdr:from>
    <xdr:to>
      <xdr:col>17</xdr:col>
      <xdr:colOff>76201</xdr:colOff>
      <xdr:row>35</xdr:row>
      <xdr:rowOff>57150</xdr:rowOff>
    </xdr:to>
    <xdr:sp macro="" textlink="">
      <xdr:nvSpPr>
        <xdr:cNvPr id="2" name="Right Brace 1">
          <a:extLst>
            <a:ext uri="{FF2B5EF4-FFF2-40B4-BE49-F238E27FC236}">
              <a16:creationId xmlns:a16="http://schemas.microsoft.com/office/drawing/2014/main" id="{479368BA-53FC-4454-B35C-05482F1E850C}"/>
            </a:ext>
          </a:extLst>
        </xdr:cNvPr>
        <xdr:cNvSpPr/>
      </xdr:nvSpPr>
      <xdr:spPr>
        <a:xfrm>
          <a:off x="8782051" y="4010025"/>
          <a:ext cx="323850" cy="1781175"/>
        </a:xfrm>
        <a:prstGeom prst="rightBrace">
          <a:avLst/>
        </a:prstGeom>
      </xdr:spPr>
      <xdr:style>
        <a:lnRef idx="2">
          <a:schemeClr val="accent4"/>
        </a:lnRef>
        <a:fillRef idx="0">
          <a:schemeClr val="accent4"/>
        </a:fillRef>
        <a:effectRef idx="1">
          <a:schemeClr val="accent4"/>
        </a:effectRef>
        <a:fontRef idx="minor">
          <a:schemeClr val="tx1"/>
        </a:fontRef>
      </xdr:style>
      <xdr:txBody>
        <a:bodyPr vertOverflow="clip" horzOverflow="clip" rtlCol="0" anchor="t"/>
        <a:lstStyle/>
        <a:p>
          <a:pPr algn="l"/>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24</xdr:col>
      <xdr:colOff>23812</xdr:colOff>
      <xdr:row>25</xdr:row>
      <xdr:rowOff>88900</xdr:rowOff>
    </xdr:from>
    <xdr:to>
      <xdr:col>28</xdr:col>
      <xdr:colOff>5232</xdr:colOff>
      <xdr:row>38</xdr:row>
      <xdr:rowOff>33791</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printerSettings" Target="../printerSettings/printerSettings4.bin"/><Relationship Id="rId7" Type="http://schemas.openxmlformats.org/officeDocument/2006/relationships/vmlDrawing" Target="../drawings/vmlDrawing1.vml"/><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6" Type="http://schemas.openxmlformats.org/officeDocument/2006/relationships/drawing" Target="../drawings/drawing2.xml"/><Relationship Id="rId5" Type="http://schemas.openxmlformats.org/officeDocument/2006/relationships/printerSettings" Target="../printerSettings/printerSettings6.bin"/><Relationship Id="rId4" Type="http://schemas.openxmlformats.org/officeDocument/2006/relationships/printerSettings" Target="../printerSettings/printerSettings5.bin"/></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printerSettings" Target="../printerSettings/printerSettings9.bin"/><Relationship Id="rId7" Type="http://schemas.openxmlformats.org/officeDocument/2006/relationships/vmlDrawing" Target="../drawings/vmlDrawing2.vml"/><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6" Type="http://schemas.openxmlformats.org/officeDocument/2006/relationships/drawing" Target="../drawings/drawing3.xml"/><Relationship Id="rId5" Type="http://schemas.openxmlformats.org/officeDocument/2006/relationships/printerSettings" Target="../printerSettings/printerSettings11.bin"/><Relationship Id="rId4" Type="http://schemas.openxmlformats.org/officeDocument/2006/relationships/printerSettings" Target="../printerSettings/printerSettings10.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358C42-DB85-4FD0-ADA7-A2C7EF68C7BB}">
  <dimension ref="A1:V122"/>
  <sheetViews>
    <sheetView workbookViewId="0">
      <selection activeCell="Y4" sqref="Y4"/>
    </sheetView>
  </sheetViews>
  <sheetFormatPr defaultRowHeight="12.75" x14ac:dyDescent="0.2"/>
  <cols>
    <col min="1" max="2" width="9.140625" style="191" customWidth="1"/>
    <col min="3" max="6" width="9.140625" style="191"/>
    <col min="7" max="7" width="9.140625" style="191" customWidth="1"/>
    <col min="8" max="9" width="9.140625" style="191"/>
    <col min="10" max="10" width="10" style="191" customWidth="1"/>
    <col min="11" max="11" width="1.42578125" style="311" customWidth="1"/>
    <col min="12" max="21" width="9.140625" style="191"/>
    <col min="22" max="22" width="1.42578125" style="311" customWidth="1"/>
  </cols>
  <sheetData>
    <row r="1" spans="1:21" ht="20.25" thickBot="1" x14ac:dyDescent="0.35">
      <c r="A1" s="217" t="s">
        <v>288</v>
      </c>
      <c r="B1" s="217"/>
      <c r="C1" s="217"/>
      <c r="D1" s="217"/>
      <c r="E1" s="217"/>
      <c r="F1" s="217"/>
      <c r="G1" s="217"/>
      <c r="H1" s="217"/>
      <c r="I1" s="217"/>
      <c r="J1" s="217"/>
      <c r="L1" s="217" t="s">
        <v>322</v>
      </c>
      <c r="M1" s="217"/>
      <c r="N1" s="217"/>
      <c r="O1" s="217"/>
      <c r="P1" s="217"/>
      <c r="Q1" s="217"/>
      <c r="R1" s="217"/>
      <c r="S1" s="217"/>
      <c r="T1" s="217"/>
      <c r="U1" s="217"/>
    </row>
    <row r="2" spans="1:21" ht="194.25" customHeight="1" thickTop="1" x14ac:dyDescent="0.2">
      <c r="A2" s="197" t="s">
        <v>284</v>
      </c>
      <c r="B2" s="197"/>
      <c r="C2" s="197"/>
      <c r="D2" s="197"/>
      <c r="E2" s="197"/>
      <c r="F2" s="197"/>
      <c r="G2" s="197"/>
      <c r="H2" s="197"/>
      <c r="I2" s="197"/>
      <c r="J2" s="197"/>
      <c r="L2" s="313" t="s">
        <v>323</v>
      </c>
      <c r="M2" s="313"/>
      <c r="N2" s="313"/>
      <c r="O2" s="313"/>
      <c r="P2" s="313"/>
      <c r="Q2" s="313"/>
      <c r="R2" s="313"/>
      <c r="S2" s="313"/>
      <c r="T2" s="313"/>
      <c r="U2" s="313"/>
    </row>
    <row r="3" spans="1:21" x14ac:dyDescent="0.2">
      <c r="A3" s="198" t="s">
        <v>295</v>
      </c>
      <c r="B3" s="198"/>
      <c r="C3" s="198"/>
      <c r="D3" s="198"/>
      <c r="E3" s="198"/>
      <c r="F3" s="198"/>
      <c r="G3" s="198"/>
      <c r="H3" s="198"/>
      <c r="I3" s="198"/>
      <c r="J3" s="198"/>
      <c r="L3" s="312"/>
      <c r="M3" s="312"/>
      <c r="N3" s="312"/>
      <c r="O3" s="312"/>
      <c r="P3" s="312"/>
      <c r="Q3" s="312"/>
      <c r="R3" s="312"/>
      <c r="S3" s="312"/>
      <c r="T3" s="312"/>
      <c r="U3" s="312"/>
    </row>
    <row r="4" spans="1:21" ht="40.5" customHeight="1" x14ac:dyDescent="0.2">
      <c r="A4" s="197" t="s">
        <v>297</v>
      </c>
      <c r="B4" s="197"/>
      <c r="C4" s="197"/>
      <c r="D4" s="197"/>
      <c r="E4" s="197"/>
      <c r="F4" s="197"/>
      <c r="G4" s="197"/>
      <c r="H4" s="197"/>
      <c r="I4" s="197"/>
      <c r="J4" s="197"/>
      <c r="L4" s="312"/>
      <c r="M4" s="312"/>
      <c r="N4" s="312"/>
      <c r="O4" s="312"/>
      <c r="P4" s="312"/>
      <c r="Q4" s="312"/>
      <c r="R4" s="312"/>
      <c r="S4" s="312"/>
      <c r="T4" s="312"/>
      <c r="U4" s="312"/>
    </row>
    <row r="5" spans="1:21" x14ac:dyDescent="0.2">
      <c r="A5" s="198" t="s">
        <v>296</v>
      </c>
      <c r="B5" s="198"/>
      <c r="C5" s="198"/>
      <c r="D5" s="198"/>
      <c r="E5" s="198"/>
      <c r="F5" s="198"/>
      <c r="G5" s="198"/>
      <c r="H5" s="198"/>
      <c r="I5" s="198"/>
      <c r="J5" s="198"/>
      <c r="L5" s="312"/>
      <c r="M5" s="312"/>
      <c r="N5" s="312"/>
      <c r="O5" s="312"/>
      <c r="P5" s="312"/>
      <c r="Q5" s="312"/>
      <c r="R5" s="312"/>
      <c r="S5" s="312"/>
      <c r="T5" s="312"/>
      <c r="U5" s="312"/>
    </row>
    <row r="6" spans="1:21" x14ac:dyDescent="0.2">
      <c r="A6" s="198" t="s">
        <v>285</v>
      </c>
      <c r="B6" s="198"/>
      <c r="C6" s="198"/>
      <c r="D6" s="198"/>
      <c r="E6" s="198"/>
      <c r="F6" s="198"/>
      <c r="G6" s="198"/>
      <c r="H6" s="198"/>
      <c r="I6" s="198"/>
      <c r="J6" s="198"/>
      <c r="L6" s="312"/>
      <c r="M6" s="312"/>
      <c r="N6" s="312"/>
      <c r="O6" s="312"/>
      <c r="P6" s="312"/>
      <c r="Q6" s="312"/>
      <c r="R6" s="312"/>
      <c r="S6" s="312"/>
      <c r="T6" s="312"/>
      <c r="U6" s="312"/>
    </row>
    <row r="7" spans="1:21" x14ac:dyDescent="0.2">
      <c r="A7" s="218"/>
      <c r="B7" s="218"/>
      <c r="C7" s="218"/>
      <c r="D7" s="218"/>
      <c r="E7" s="218"/>
      <c r="F7" s="218"/>
      <c r="G7" s="218"/>
      <c r="H7" s="218"/>
      <c r="I7" s="218"/>
      <c r="J7" s="218"/>
      <c r="L7" s="312"/>
      <c r="M7" s="312"/>
      <c r="N7" s="312"/>
      <c r="O7" s="312"/>
      <c r="P7" s="312"/>
      <c r="Q7" s="312"/>
      <c r="R7" s="312"/>
      <c r="S7" s="312"/>
      <c r="T7" s="312"/>
      <c r="U7" s="312"/>
    </row>
    <row r="8" spans="1:21" ht="20.25" thickBot="1" x14ac:dyDescent="0.35">
      <c r="A8" s="217" t="s">
        <v>286</v>
      </c>
      <c r="B8" s="217"/>
      <c r="C8" s="217"/>
      <c r="D8" s="217"/>
      <c r="E8" s="217"/>
      <c r="F8" s="217"/>
      <c r="G8" s="217"/>
      <c r="H8" s="217"/>
      <c r="I8" s="217"/>
      <c r="J8" s="217"/>
      <c r="L8" s="312"/>
      <c r="M8" s="312"/>
      <c r="N8" s="312"/>
      <c r="O8" s="312"/>
      <c r="P8" s="312"/>
      <c r="Q8" s="312"/>
      <c r="R8" s="312"/>
      <c r="S8" s="312"/>
      <c r="T8" s="312"/>
      <c r="U8" s="312"/>
    </row>
    <row r="9" spans="1:21" ht="18.75" thickTop="1" thickBot="1" x14ac:dyDescent="0.35">
      <c r="A9" s="199" t="s">
        <v>287</v>
      </c>
      <c r="B9" s="199"/>
      <c r="C9" s="199"/>
      <c r="D9" s="199"/>
      <c r="E9" s="199"/>
      <c r="F9" s="199"/>
      <c r="G9" s="199"/>
      <c r="H9" s="219"/>
      <c r="I9" s="219"/>
      <c r="J9" s="219"/>
    </row>
    <row r="10" spans="1:21" ht="13.5" customHeight="1" thickTop="1" x14ac:dyDescent="0.2">
      <c r="A10" s="192" t="s">
        <v>300</v>
      </c>
      <c r="B10" s="192"/>
      <c r="C10" s="192"/>
      <c r="D10" s="192"/>
      <c r="E10" s="192"/>
      <c r="F10" s="192"/>
      <c r="G10" s="193"/>
      <c r="H10" s="208"/>
      <c r="I10" s="209"/>
      <c r="J10" s="210"/>
    </row>
    <row r="11" spans="1:21" x14ac:dyDescent="0.2">
      <c r="A11" s="196"/>
      <c r="B11" s="196"/>
      <c r="C11" s="196"/>
      <c r="D11" s="196"/>
      <c r="E11" s="196"/>
      <c r="F11" s="196"/>
      <c r="G11" s="195"/>
      <c r="H11" s="211"/>
      <c r="I11" s="212"/>
      <c r="J11" s="213"/>
    </row>
    <row r="12" spans="1:21" x14ac:dyDescent="0.2">
      <c r="A12" s="196"/>
      <c r="B12" s="196"/>
      <c r="C12" s="196"/>
      <c r="D12" s="196"/>
      <c r="E12" s="196"/>
      <c r="F12" s="196"/>
      <c r="G12" s="195"/>
      <c r="H12" s="211"/>
      <c r="I12" s="212"/>
      <c r="J12" s="213"/>
    </row>
    <row r="13" spans="1:21" x14ac:dyDescent="0.2">
      <c r="A13" s="196"/>
      <c r="B13" s="196"/>
      <c r="C13" s="196"/>
      <c r="D13" s="196"/>
      <c r="E13" s="196"/>
      <c r="F13" s="196"/>
      <c r="G13" s="195"/>
      <c r="H13" s="211"/>
      <c r="I13" s="212"/>
      <c r="J13" s="213"/>
    </row>
    <row r="14" spans="1:21" x14ac:dyDescent="0.2">
      <c r="A14" s="196"/>
      <c r="B14" s="196"/>
      <c r="C14" s="196"/>
      <c r="D14" s="196"/>
      <c r="E14" s="196"/>
      <c r="F14" s="196"/>
      <c r="G14" s="195"/>
      <c r="H14" s="211"/>
      <c r="I14" s="212"/>
      <c r="J14" s="213"/>
    </row>
    <row r="15" spans="1:21" x14ac:dyDescent="0.2">
      <c r="A15" s="196"/>
      <c r="B15" s="196"/>
      <c r="C15" s="196"/>
      <c r="D15" s="196"/>
      <c r="E15" s="196"/>
      <c r="F15" s="196"/>
      <c r="G15" s="195"/>
      <c r="H15" s="211"/>
      <c r="I15" s="212"/>
      <c r="J15" s="213"/>
    </row>
    <row r="16" spans="1:21" x14ac:dyDescent="0.2">
      <c r="A16" s="196"/>
      <c r="B16" s="196"/>
      <c r="C16" s="196"/>
      <c r="D16" s="196"/>
      <c r="E16" s="196"/>
      <c r="F16" s="196"/>
      <c r="G16" s="195"/>
      <c r="H16" s="211"/>
      <c r="I16" s="212"/>
      <c r="J16" s="213"/>
    </row>
    <row r="17" spans="1:10" x14ac:dyDescent="0.2">
      <c r="A17" s="196"/>
      <c r="B17" s="196"/>
      <c r="C17" s="196"/>
      <c r="D17" s="196"/>
      <c r="E17" s="196"/>
      <c r="F17" s="196"/>
      <c r="G17" s="195"/>
      <c r="H17" s="211"/>
      <c r="I17" s="212"/>
      <c r="J17" s="213"/>
    </row>
    <row r="18" spans="1:10" x14ac:dyDescent="0.2">
      <c r="A18" s="196"/>
      <c r="B18" s="196"/>
      <c r="C18" s="196"/>
      <c r="D18" s="196"/>
      <c r="E18" s="196"/>
      <c r="F18" s="196"/>
      <c r="G18" s="195"/>
      <c r="H18" s="211"/>
      <c r="I18" s="212"/>
      <c r="J18" s="213"/>
    </row>
    <row r="19" spans="1:10" x14ac:dyDescent="0.2">
      <c r="A19" s="196"/>
      <c r="B19" s="196"/>
      <c r="C19" s="196"/>
      <c r="D19" s="196"/>
      <c r="E19" s="196"/>
      <c r="F19" s="196"/>
      <c r="G19" s="195"/>
      <c r="H19" s="211"/>
      <c r="I19" s="212"/>
      <c r="J19" s="213"/>
    </row>
    <row r="20" spans="1:10" ht="13.5" thickBot="1" x14ac:dyDescent="0.25">
      <c r="A20" s="196"/>
      <c r="B20" s="196"/>
      <c r="C20" s="196"/>
      <c r="D20" s="196"/>
      <c r="E20" s="196"/>
      <c r="F20" s="196"/>
      <c r="G20" s="195"/>
      <c r="H20" s="214"/>
      <c r="I20" s="215"/>
      <c r="J20" s="216"/>
    </row>
    <row r="21" spans="1:10" ht="15.75" customHeight="1" x14ac:dyDescent="0.2">
      <c r="A21" s="196"/>
      <c r="B21" s="196"/>
      <c r="C21" s="196"/>
      <c r="D21" s="196"/>
      <c r="E21" s="196"/>
      <c r="F21" s="196"/>
      <c r="G21" s="196"/>
      <c r="H21" s="196"/>
      <c r="I21" s="196"/>
      <c r="J21" s="196"/>
    </row>
    <row r="22" spans="1:10" ht="18" thickBot="1" x14ac:dyDescent="0.35">
      <c r="A22" s="199" t="s">
        <v>299</v>
      </c>
      <c r="B22" s="199"/>
      <c r="C22" s="199"/>
      <c r="D22" s="199"/>
      <c r="E22" s="199"/>
      <c r="F22" s="199"/>
      <c r="G22" s="199"/>
      <c r="H22" s="199"/>
      <c r="I22" s="199"/>
      <c r="J22" s="199"/>
    </row>
    <row r="23" spans="1:10" ht="13.5" thickTop="1" x14ac:dyDescent="0.2">
      <c r="A23" s="200" t="s">
        <v>321</v>
      </c>
      <c r="B23" s="200"/>
      <c r="C23" s="200"/>
      <c r="D23" s="200"/>
      <c r="E23" s="200"/>
      <c r="F23" s="200"/>
      <c r="G23" s="200"/>
      <c r="H23" s="200"/>
      <c r="I23" s="200"/>
      <c r="J23" s="200"/>
    </row>
    <row r="24" spans="1:10" x14ac:dyDescent="0.2">
      <c r="A24" s="308"/>
      <c r="B24" s="308"/>
      <c r="C24" s="308"/>
      <c r="D24" s="308"/>
      <c r="E24" s="308"/>
      <c r="F24" s="308"/>
      <c r="G24" s="308"/>
      <c r="H24" s="308"/>
      <c r="I24" s="308"/>
      <c r="J24" s="308"/>
    </row>
    <row r="25" spans="1:10" x14ac:dyDescent="0.2">
      <c r="A25" s="308"/>
      <c r="B25" s="308"/>
      <c r="C25" s="308"/>
      <c r="D25" s="308"/>
      <c r="E25" s="308"/>
      <c r="F25" s="308"/>
      <c r="G25" s="308"/>
      <c r="H25" s="308"/>
      <c r="I25" s="308"/>
      <c r="J25" s="308"/>
    </row>
    <row r="26" spans="1:10" x14ac:dyDescent="0.2">
      <c r="A26" s="308"/>
      <c r="B26" s="308"/>
      <c r="C26" s="308"/>
      <c r="D26" s="308"/>
      <c r="E26" s="308"/>
      <c r="F26" s="308"/>
      <c r="G26" s="308"/>
      <c r="H26" s="308"/>
      <c r="I26" s="308"/>
      <c r="J26" s="308"/>
    </row>
    <row r="27" spans="1:10" x14ac:dyDescent="0.2">
      <c r="A27" s="308"/>
      <c r="B27" s="308"/>
      <c r="C27" s="308"/>
      <c r="D27" s="308"/>
      <c r="E27" s="308"/>
      <c r="F27" s="308"/>
      <c r="G27" s="308"/>
      <c r="H27" s="308"/>
      <c r="I27" s="308"/>
      <c r="J27" s="308"/>
    </row>
    <row r="28" spans="1:10" x14ac:dyDescent="0.2">
      <c r="A28" s="308"/>
      <c r="B28" s="308"/>
      <c r="C28" s="308"/>
      <c r="D28" s="308"/>
      <c r="E28" s="308"/>
      <c r="F28" s="308"/>
      <c r="G28" s="308"/>
      <c r="H28" s="308"/>
      <c r="I28" s="308"/>
      <c r="J28" s="308"/>
    </row>
    <row r="29" spans="1:10" ht="18" thickBot="1" x14ac:dyDescent="0.35">
      <c r="A29" s="199" t="s">
        <v>298</v>
      </c>
      <c r="B29" s="199"/>
      <c r="C29" s="199"/>
      <c r="D29" s="199"/>
      <c r="E29" s="199"/>
      <c r="F29" s="185"/>
      <c r="G29" s="185"/>
      <c r="H29" s="185"/>
      <c r="I29" s="185"/>
      <c r="J29" s="185"/>
    </row>
    <row r="30" spans="1:10" ht="13.5" customHeight="1" thickTop="1" x14ac:dyDescent="0.2">
      <c r="A30" s="192" t="s">
        <v>301</v>
      </c>
      <c r="B30" s="192"/>
      <c r="C30" s="192"/>
      <c r="D30" s="192"/>
      <c r="E30" s="193"/>
      <c r="F30" s="201"/>
      <c r="G30" s="202"/>
      <c r="H30" s="202"/>
      <c r="I30" s="202"/>
      <c r="J30" s="203"/>
    </row>
    <row r="31" spans="1:10" x14ac:dyDescent="0.2">
      <c r="A31" s="194"/>
      <c r="B31" s="194"/>
      <c r="C31" s="194"/>
      <c r="D31" s="194"/>
      <c r="E31" s="195"/>
      <c r="F31" s="204"/>
      <c r="G31" s="194"/>
      <c r="H31" s="194"/>
      <c r="I31" s="194"/>
      <c r="J31" s="195"/>
    </row>
    <row r="32" spans="1:10" x14ac:dyDescent="0.2">
      <c r="A32" s="194"/>
      <c r="B32" s="194"/>
      <c r="C32" s="194"/>
      <c r="D32" s="194"/>
      <c r="E32" s="195"/>
      <c r="F32" s="204"/>
      <c r="G32" s="194"/>
      <c r="H32" s="194"/>
      <c r="I32" s="194"/>
      <c r="J32" s="195"/>
    </row>
    <row r="33" spans="1:10" x14ac:dyDescent="0.2">
      <c r="A33" s="194"/>
      <c r="B33" s="194"/>
      <c r="C33" s="194"/>
      <c r="D33" s="194"/>
      <c r="E33" s="195"/>
      <c r="F33" s="204"/>
      <c r="G33" s="194"/>
      <c r="H33" s="194"/>
      <c r="I33" s="194"/>
      <c r="J33" s="195"/>
    </row>
    <row r="34" spans="1:10" x14ac:dyDescent="0.2">
      <c r="A34" s="194"/>
      <c r="B34" s="194"/>
      <c r="C34" s="194"/>
      <c r="D34" s="194"/>
      <c r="E34" s="195"/>
      <c r="F34" s="204"/>
      <c r="G34" s="194"/>
      <c r="H34" s="194"/>
      <c r="I34" s="194"/>
      <c r="J34" s="195"/>
    </row>
    <row r="35" spans="1:10" x14ac:dyDescent="0.2">
      <c r="A35" s="194"/>
      <c r="B35" s="194"/>
      <c r="C35" s="194"/>
      <c r="D35" s="194"/>
      <c r="E35" s="195"/>
      <c r="F35" s="204"/>
      <c r="G35" s="194"/>
      <c r="H35" s="194"/>
      <c r="I35" s="194"/>
      <c r="J35" s="195"/>
    </row>
    <row r="36" spans="1:10" x14ac:dyDescent="0.2">
      <c r="A36" s="194"/>
      <c r="B36" s="194"/>
      <c r="C36" s="194"/>
      <c r="D36" s="194"/>
      <c r="E36" s="195"/>
      <c r="F36" s="204"/>
      <c r="G36" s="194"/>
      <c r="H36" s="194"/>
      <c r="I36" s="194"/>
      <c r="J36" s="195"/>
    </row>
    <row r="37" spans="1:10" x14ac:dyDescent="0.2">
      <c r="A37" s="194"/>
      <c r="B37" s="194"/>
      <c r="C37" s="194"/>
      <c r="D37" s="194"/>
      <c r="E37" s="195"/>
      <c r="F37" s="204"/>
      <c r="G37" s="194"/>
      <c r="H37" s="194"/>
      <c r="I37" s="194"/>
      <c r="J37" s="195"/>
    </row>
    <row r="38" spans="1:10" x14ac:dyDescent="0.2">
      <c r="A38" s="194"/>
      <c r="B38" s="194"/>
      <c r="C38" s="194"/>
      <c r="D38" s="194"/>
      <c r="E38" s="195"/>
      <c r="F38" s="204"/>
      <c r="G38" s="194"/>
      <c r="H38" s="194"/>
      <c r="I38" s="194"/>
      <c r="J38" s="195"/>
    </row>
    <row r="39" spans="1:10" x14ac:dyDescent="0.2">
      <c r="A39" s="194"/>
      <c r="B39" s="194"/>
      <c r="C39" s="194"/>
      <c r="D39" s="194"/>
      <c r="E39" s="195"/>
      <c r="F39" s="204"/>
      <c r="G39" s="194"/>
      <c r="H39" s="194"/>
      <c r="I39" s="194"/>
      <c r="J39" s="195"/>
    </row>
    <row r="40" spans="1:10" x14ac:dyDescent="0.2">
      <c r="A40" s="194"/>
      <c r="B40" s="194"/>
      <c r="C40" s="194"/>
      <c r="D40" s="194"/>
      <c r="E40" s="195"/>
      <c r="F40" s="204"/>
      <c r="G40" s="194"/>
      <c r="H40" s="194"/>
      <c r="I40" s="194"/>
      <c r="J40" s="195"/>
    </row>
    <row r="41" spans="1:10" x14ac:dyDescent="0.2">
      <c r="A41" s="194"/>
      <c r="B41" s="194"/>
      <c r="C41" s="194"/>
      <c r="D41" s="194"/>
      <c r="E41" s="195"/>
      <c r="F41" s="204"/>
      <c r="G41" s="194"/>
      <c r="H41" s="194"/>
      <c r="I41" s="194"/>
      <c r="J41" s="195"/>
    </row>
    <row r="42" spans="1:10" x14ac:dyDescent="0.2">
      <c r="A42" s="194"/>
      <c r="B42" s="194"/>
      <c r="C42" s="194"/>
      <c r="D42" s="194"/>
      <c r="E42" s="195"/>
      <c r="F42" s="204"/>
      <c r="G42" s="194"/>
      <c r="H42" s="194"/>
      <c r="I42" s="194"/>
      <c r="J42" s="195"/>
    </row>
    <row r="43" spans="1:10" x14ac:dyDescent="0.2">
      <c r="A43" s="194"/>
      <c r="B43" s="194"/>
      <c r="C43" s="194"/>
      <c r="D43" s="194"/>
      <c r="E43" s="195"/>
      <c r="F43" s="204"/>
      <c r="G43" s="194"/>
      <c r="H43" s="194"/>
      <c r="I43" s="194"/>
      <c r="J43" s="195"/>
    </row>
    <row r="44" spans="1:10" x14ac:dyDescent="0.2">
      <c r="A44" s="194"/>
      <c r="B44" s="194"/>
      <c r="C44" s="194"/>
      <c r="D44" s="194"/>
      <c r="E44" s="195"/>
      <c r="F44" s="204"/>
      <c r="G44" s="194"/>
      <c r="H44" s="194"/>
      <c r="I44" s="194"/>
      <c r="J44" s="195"/>
    </row>
    <row r="45" spans="1:10" x14ac:dyDescent="0.2">
      <c r="A45" s="194"/>
      <c r="B45" s="194"/>
      <c r="C45" s="194"/>
      <c r="D45" s="194"/>
      <c r="E45" s="195"/>
      <c r="F45" s="204"/>
      <c r="G45" s="194"/>
      <c r="H45" s="194"/>
      <c r="I45" s="194"/>
      <c r="J45" s="195"/>
    </row>
    <row r="46" spans="1:10" ht="13.5" thickBot="1" x14ac:dyDescent="0.25">
      <c r="A46" s="194"/>
      <c r="B46" s="194"/>
      <c r="C46" s="194"/>
      <c r="D46" s="194"/>
      <c r="E46" s="195"/>
      <c r="F46" s="205"/>
      <c r="G46" s="206"/>
      <c r="H46" s="206"/>
      <c r="I46" s="206"/>
      <c r="J46" s="207"/>
    </row>
    <row r="47" spans="1:10" ht="18" thickBot="1" x14ac:dyDescent="0.35">
      <c r="A47" s="199" t="s">
        <v>65</v>
      </c>
      <c r="B47" s="199"/>
      <c r="C47" s="199"/>
      <c r="D47" s="199"/>
      <c r="E47" s="199"/>
      <c r="F47" s="199"/>
      <c r="G47" s="199"/>
      <c r="H47" s="199"/>
      <c r="I47" s="199"/>
      <c r="J47" s="199"/>
    </row>
    <row r="48" spans="1:10" ht="13.5" thickTop="1" x14ac:dyDescent="0.2">
      <c r="A48" s="200" t="s">
        <v>309</v>
      </c>
      <c r="B48" s="200"/>
      <c r="C48" s="200"/>
      <c r="D48" s="200"/>
      <c r="E48" s="200"/>
      <c r="F48" s="200"/>
      <c r="G48" s="200"/>
      <c r="H48" s="200"/>
      <c r="I48" s="200"/>
      <c r="J48" s="200"/>
    </row>
    <row r="49" spans="1:10" x14ac:dyDescent="0.2">
      <c r="A49" s="308"/>
      <c r="B49" s="308"/>
      <c r="C49" s="308"/>
      <c r="D49" s="308"/>
      <c r="E49" s="308"/>
      <c r="F49" s="308"/>
      <c r="G49" s="308"/>
      <c r="H49" s="308"/>
      <c r="I49" s="308"/>
      <c r="J49" s="308"/>
    </row>
    <row r="50" spans="1:10" x14ac:dyDescent="0.2">
      <c r="A50" s="308"/>
      <c r="B50" s="308"/>
      <c r="C50" s="308"/>
      <c r="D50" s="308"/>
      <c r="E50" s="308"/>
      <c r="F50" s="308"/>
      <c r="G50" s="308"/>
      <c r="H50" s="308"/>
      <c r="I50" s="308"/>
      <c r="J50" s="308"/>
    </row>
    <row r="51" spans="1:10" x14ac:dyDescent="0.2">
      <c r="A51" s="308"/>
      <c r="B51" s="308"/>
      <c r="C51" s="308"/>
      <c r="D51" s="308"/>
      <c r="E51" s="308"/>
      <c r="F51" s="308"/>
      <c r="G51" s="308"/>
      <c r="H51" s="308"/>
      <c r="I51" s="308"/>
      <c r="J51" s="308"/>
    </row>
    <row r="52" spans="1:10" x14ac:dyDescent="0.2">
      <c r="A52" s="308"/>
      <c r="B52" s="308"/>
      <c r="C52" s="308"/>
      <c r="D52" s="308"/>
      <c r="E52" s="308"/>
      <c r="F52" s="308"/>
      <c r="G52" s="308"/>
      <c r="H52" s="308"/>
      <c r="I52" s="308"/>
      <c r="J52" s="308"/>
    </row>
    <row r="53" spans="1:10" x14ac:dyDescent="0.2">
      <c r="A53" s="308"/>
      <c r="B53" s="308"/>
      <c r="C53" s="308"/>
      <c r="D53" s="308"/>
      <c r="E53" s="308"/>
      <c r="F53" s="308"/>
      <c r="G53" s="308"/>
      <c r="H53" s="308"/>
      <c r="I53" s="308"/>
      <c r="J53" s="308"/>
    </row>
    <row r="54" spans="1:10" x14ac:dyDescent="0.2">
      <c r="A54" s="308"/>
      <c r="B54" s="308"/>
      <c r="C54" s="308"/>
      <c r="D54" s="308"/>
      <c r="E54" s="308"/>
      <c r="F54" s="308"/>
      <c r="G54" s="308"/>
      <c r="H54" s="308"/>
      <c r="I54" s="308"/>
      <c r="J54" s="308"/>
    </row>
    <row r="55" spans="1:10" ht="18" thickBot="1" x14ac:dyDescent="0.35">
      <c r="A55" s="199" t="s">
        <v>302</v>
      </c>
      <c r="B55" s="199"/>
      <c r="C55" s="199"/>
      <c r="D55" s="199"/>
      <c r="E55" s="199"/>
      <c r="F55" s="199"/>
      <c r="G55" s="199"/>
      <c r="H55" s="199"/>
      <c r="I55" s="199"/>
      <c r="J55" s="199"/>
    </row>
    <row r="56" spans="1:10" ht="13.5" customHeight="1" thickTop="1" x14ac:dyDescent="0.2">
      <c r="A56" s="200" t="s">
        <v>303</v>
      </c>
      <c r="B56" s="200"/>
      <c r="C56" s="200"/>
      <c r="D56" s="200"/>
      <c r="E56" s="200"/>
      <c r="F56" s="200"/>
      <c r="G56" s="200"/>
      <c r="H56" s="200"/>
      <c r="I56" s="200"/>
      <c r="J56" s="200"/>
    </row>
    <row r="57" spans="1:10" x14ac:dyDescent="0.2">
      <c r="A57" s="308"/>
      <c r="B57" s="308"/>
      <c r="C57" s="308"/>
      <c r="D57" s="308"/>
      <c r="E57" s="308"/>
      <c r="F57" s="308"/>
      <c r="G57" s="308"/>
      <c r="H57" s="308"/>
      <c r="I57" s="308"/>
      <c r="J57" s="308"/>
    </row>
    <row r="58" spans="1:10" x14ac:dyDescent="0.2">
      <c r="A58" s="308"/>
      <c r="B58" s="308"/>
      <c r="C58" s="308"/>
      <c r="D58" s="308"/>
      <c r="E58" s="308"/>
      <c r="F58" s="308"/>
      <c r="G58" s="308"/>
      <c r="H58" s="308"/>
      <c r="I58" s="308"/>
      <c r="J58" s="308"/>
    </row>
    <row r="59" spans="1:10" ht="20.25" thickBot="1" x14ac:dyDescent="0.35">
      <c r="A59" s="217" t="s">
        <v>304</v>
      </c>
      <c r="B59" s="217"/>
      <c r="C59" s="217"/>
      <c r="D59" s="217"/>
      <c r="E59" s="217"/>
      <c r="F59" s="217"/>
      <c r="G59" s="217"/>
      <c r="H59" s="217"/>
      <c r="I59" s="217"/>
      <c r="J59" s="217"/>
    </row>
    <row r="60" spans="1:10" ht="18.75" thickTop="1" thickBot="1" x14ac:dyDescent="0.35">
      <c r="A60" s="199" t="s">
        <v>305</v>
      </c>
      <c r="B60" s="199"/>
      <c r="C60" s="199"/>
      <c r="D60" s="199"/>
      <c r="E60" s="199"/>
      <c r="F60" s="199"/>
      <c r="G60" s="199"/>
      <c r="H60" s="199"/>
      <c r="I60" s="199"/>
      <c r="J60" s="199"/>
    </row>
    <row r="61" spans="1:10" ht="13.5" thickTop="1" x14ac:dyDescent="0.2">
      <c r="A61" s="309" t="s">
        <v>306</v>
      </c>
      <c r="B61" s="309"/>
      <c r="C61" s="309"/>
      <c r="D61" s="309"/>
      <c r="E61" s="309"/>
      <c r="F61" s="309"/>
      <c r="G61" s="309"/>
      <c r="H61" s="309"/>
      <c r="I61" s="309"/>
      <c r="J61" s="309"/>
    </row>
    <row r="62" spans="1:10" x14ac:dyDescent="0.2">
      <c r="A62" s="310"/>
      <c r="B62" s="310"/>
      <c r="C62" s="310"/>
      <c r="D62" s="310"/>
      <c r="E62" s="310"/>
      <c r="F62" s="310"/>
      <c r="G62" s="310"/>
      <c r="H62" s="310"/>
      <c r="I62" s="310"/>
      <c r="J62" s="310"/>
    </row>
    <row r="63" spans="1:10" ht="18" thickBot="1" x14ac:dyDescent="0.35">
      <c r="A63" s="199" t="s">
        <v>307</v>
      </c>
      <c r="B63" s="199"/>
      <c r="C63" s="199"/>
      <c r="D63" s="199"/>
      <c r="E63" s="199"/>
      <c r="F63" s="199"/>
      <c r="G63" s="199"/>
      <c r="H63" s="199"/>
      <c r="I63" s="199"/>
      <c r="J63" s="199"/>
    </row>
    <row r="64" spans="1:10" ht="13.5" thickTop="1" x14ac:dyDescent="0.2">
      <c r="A64" s="200" t="s">
        <v>308</v>
      </c>
      <c r="B64" s="200"/>
      <c r="C64" s="200"/>
      <c r="D64" s="200"/>
      <c r="E64" s="200"/>
      <c r="F64" s="200"/>
      <c r="G64" s="200"/>
      <c r="H64" s="200"/>
      <c r="I64" s="200"/>
      <c r="J64" s="200"/>
    </row>
    <row r="65" spans="1:10" x14ac:dyDescent="0.2">
      <c r="A65" s="308"/>
      <c r="B65" s="308"/>
      <c r="C65" s="308"/>
      <c r="D65" s="308"/>
      <c r="E65" s="308"/>
      <c r="F65" s="308"/>
      <c r="G65" s="308"/>
      <c r="H65" s="308"/>
      <c r="I65" s="308"/>
      <c r="J65" s="308"/>
    </row>
    <row r="66" spans="1:10" x14ac:dyDescent="0.2">
      <c r="A66" s="308"/>
      <c r="B66" s="308"/>
      <c r="C66" s="308"/>
      <c r="D66" s="308"/>
      <c r="E66" s="308"/>
      <c r="F66" s="308"/>
      <c r="G66" s="308"/>
      <c r="H66" s="308"/>
      <c r="I66" s="308"/>
      <c r="J66" s="308"/>
    </row>
    <row r="67" spans="1:10" x14ac:dyDescent="0.2">
      <c r="A67" s="308"/>
      <c r="B67" s="308"/>
      <c r="C67" s="308"/>
      <c r="D67" s="308"/>
      <c r="E67" s="308"/>
      <c r="F67" s="308"/>
      <c r="G67" s="308"/>
      <c r="H67" s="308"/>
      <c r="I67" s="308"/>
      <c r="J67" s="308"/>
    </row>
    <row r="68" spans="1:10" x14ac:dyDescent="0.2">
      <c r="A68" s="308"/>
      <c r="B68" s="308"/>
      <c r="C68" s="308"/>
      <c r="D68" s="308"/>
      <c r="E68" s="308"/>
      <c r="F68" s="308"/>
      <c r="G68" s="308"/>
      <c r="H68" s="308"/>
      <c r="I68" s="308"/>
      <c r="J68" s="308"/>
    </row>
    <row r="69" spans="1:10" x14ac:dyDescent="0.2">
      <c r="A69" s="308"/>
      <c r="B69" s="308"/>
      <c r="C69" s="308"/>
      <c r="D69" s="308"/>
      <c r="E69" s="308"/>
      <c r="F69" s="308"/>
      <c r="G69" s="308"/>
      <c r="H69" s="308"/>
      <c r="I69" s="308"/>
      <c r="J69" s="308"/>
    </row>
    <row r="70" spans="1:10" ht="12.75" customHeight="1" x14ac:dyDescent="0.2">
      <c r="A70" s="308" t="s">
        <v>310</v>
      </c>
      <c r="B70" s="308"/>
      <c r="C70" s="308"/>
      <c r="D70" s="308"/>
      <c r="E70" s="308"/>
      <c r="F70" s="308"/>
      <c r="G70" s="308"/>
      <c r="H70" s="308"/>
      <c r="I70" s="308"/>
      <c r="J70" s="308"/>
    </row>
    <row r="71" spans="1:10" x14ac:dyDescent="0.2">
      <c r="A71" s="308"/>
      <c r="B71" s="308"/>
      <c r="C71" s="308"/>
      <c r="D71" s="308"/>
      <c r="E71" s="308"/>
      <c r="F71" s="308"/>
      <c r="G71" s="308"/>
      <c r="H71" s="308"/>
      <c r="I71" s="308"/>
      <c r="J71" s="308"/>
    </row>
    <row r="72" spans="1:10" x14ac:dyDescent="0.2">
      <c r="A72" s="308"/>
      <c r="B72" s="308"/>
      <c r="C72" s="308"/>
      <c r="D72" s="308"/>
      <c r="E72" s="308"/>
      <c r="F72" s="308"/>
      <c r="G72" s="308"/>
      <c r="H72" s="308"/>
      <c r="I72" s="308"/>
      <c r="J72" s="308"/>
    </row>
    <row r="73" spans="1:10" x14ac:dyDescent="0.2">
      <c r="A73" s="308" t="s">
        <v>311</v>
      </c>
      <c r="B73" s="308"/>
      <c r="C73" s="308"/>
      <c r="D73" s="308"/>
      <c r="E73" s="308"/>
      <c r="F73" s="308"/>
      <c r="G73" s="308"/>
      <c r="H73" s="308"/>
      <c r="I73" s="308"/>
      <c r="J73" s="308"/>
    </row>
    <row r="74" spans="1:10" x14ac:dyDescent="0.2">
      <c r="A74" s="308"/>
      <c r="B74" s="308"/>
      <c r="C74" s="308"/>
      <c r="D74" s="308"/>
      <c r="E74" s="308"/>
      <c r="F74" s="308"/>
      <c r="G74" s="308"/>
      <c r="H74" s="308"/>
      <c r="I74" s="308"/>
      <c r="J74" s="308"/>
    </row>
    <row r="75" spans="1:10" x14ac:dyDescent="0.2">
      <c r="A75" s="308"/>
      <c r="B75" s="308"/>
      <c r="C75" s="308"/>
      <c r="D75" s="308"/>
      <c r="E75" s="308"/>
      <c r="F75" s="308"/>
      <c r="G75" s="308"/>
      <c r="H75" s="308"/>
      <c r="I75" s="308"/>
      <c r="J75" s="308"/>
    </row>
    <row r="76" spans="1:10" ht="18" thickBot="1" x14ac:dyDescent="0.35">
      <c r="A76" s="199" t="s">
        <v>313</v>
      </c>
      <c r="B76" s="199"/>
      <c r="C76" s="199"/>
      <c r="D76" s="199"/>
      <c r="E76" s="199"/>
      <c r="F76" s="185"/>
      <c r="G76" s="185"/>
      <c r="H76" s="185"/>
      <c r="I76" s="185"/>
      <c r="J76" s="185"/>
    </row>
    <row r="77" spans="1:10" ht="13.5" customHeight="1" thickTop="1" x14ac:dyDescent="0.2">
      <c r="A77" s="192" t="s">
        <v>317</v>
      </c>
      <c r="B77" s="192"/>
      <c r="C77" s="192"/>
      <c r="D77" s="192"/>
      <c r="E77" s="193"/>
      <c r="F77" s="201"/>
      <c r="G77" s="202"/>
      <c r="H77" s="202"/>
      <c r="I77" s="202"/>
      <c r="J77" s="203"/>
    </row>
    <row r="78" spans="1:10" x14ac:dyDescent="0.2">
      <c r="A78" s="194"/>
      <c r="B78" s="194"/>
      <c r="C78" s="194"/>
      <c r="D78" s="194"/>
      <c r="E78" s="195"/>
      <c r="F78" s="204"/>
      <c r="G78" s="194"/>
      <c r="H78" s="194"/>
      <c r="I78" s="194"/>
      <c r="J78" s="195"/>
    </row>
    <row r="79" spans="1:10" x14ac:dyDescent="0.2">
      <c r="A79" s="194"/>
      <c r="B79" s="194"/>
      <c r="C79" s="194"/>
      <c r="D79" s="194"/>
      <c r="E79" s="195"/>
      <c r="F79" s="204"/>
      <c r="G79" s="194"/>
      <c r="H79" s="194"/>
      <c r="I79" s="194"/>
      <c r="J79" s="195"/>
    </row>
    <row r="80" spans="1:10" x14ac:dyDescent="0.2">
      <c r="A80" s="194"/>
      <c r="B80" s="194"/>
      <c r="C80" s="194"/>
      <c r="D80" s="194"/>
      <c r="E80" s="195"/>
      <c r="F80" s="204"/>
      <c r="G80" s="194"/>
      <c r="H80" s="194"/>
      <c r="I80" s="194"/>
      <c r="J80" s="195"/>
    </row>
    <row r="81" spans="1:10" x14ac:dyDescent="0.2">
      <c r="A81" s="194"/>
      <c r="B81" s="194"/>
      <c r="C81" s="194"/>
      <c r="D81" s="194"/>
      <c r="E81" s="195"/>
      <c r="F81" s="204"/>
      <c r="G81" s="194"/>
      <c r="H81" s="194"/>
      <c r="I81" s="194"/>
      <c r="J81" s="195"/>
    </row>
    <row r="82" spans="1:10" x14ac:dyDescent="0.2">
      <c r="A82" s="194"/>
      <c r="B82" s="194"/>
      <c r="C82" s="194"/>
      <c r="D82" s="194"/>
      <c r="E82" s="195"/>
      <c r="F82" s="204"/>
      <c r="G82" s="194"/>
      <c r="H82" s="194"/>
      <c r="I82" s="194"/>
      <c r="J82" s="195"/>
    </row>
    <row r="83" spans="1:10" x14ac:dyDescent="0.2">
      <c r="A83" s="194"/>
      <c r="B83" s="194"/>
      <c r="C83" s="194"/>
      <c r="D83" s="194"/>
      <c r="E83" s="195"/>
      <c r="F83" s="204"/>
      <c r="G83" s="194"/>
      <c r="H83" s="194"/>
      <c r="I83" s="194"/>
      <c r="J83" s="195"/>
    </row>
    <row r="84" spans="1:10" x14ac:dyDescent="0.2">
      <c r="A84" s="194"/>
      <c r="B84" s="194"/>
      <c r="C84" s="194"/>
      <c r="D84" s="194"/>
      <c r="E84" s="195"/>
      <c r="F84" s="204"/>
      <c r="G84" s="194"/>
      <c r="H84" s="194"/>
      <c r="I84" s="194"/>
      <c r="J84" s="195"/>
    </row>
    <row r="85" spans="1:10" x14ac:dyDescent="0.2">
      <c r="A85" s="194"/>
      <c r="B85" s="194"/>
      <c r="C85" s="194"/>
      <c r="D85" s="194"/>
      <c r="E85" s="195"/>
      <c r="F85" s="204"/>
      <c r="G85" s="194"/>
      <c r="H85" s="194"/>
      <c r="I85" s="194"/>
      <c r="J85" s="195"/>
    </row>
    <row r="86" spans="1:10" ht="13.5" thickBot="1" x14ac:dyDescent="0.25">
      <c r="A86" s="194"/>
      <c r="B86" s="194"/>
      <c r="C86" s="194"/>
      <c r="D86" s="194"/>
      <c r="E86" s="195"/>
      <c r="F86" s="205"/>
      <c r="G86" s="206"/>
      <c r="H86" s="206"/>
      <c r="I86" s="206"/>
      <c r="J86" s="207"/>
    </row>
    <row r="87" spans="1:10" ht="18" thickBot="1" x14ac:dyDescent="0.35">
      <c r="A87" s="199" t="s">
        <v>314</v>
      </c>
      <c r="B87" s="199"/>
      <c r="C87" s="199"/>
      <c r="D87" s="199"/>
      <c r="E87" s="199"/>
      <c r="F87" s="185"/>
      <c r="G87" s="185"/>
      <c r="H87" s="185"/>
      <c r="I87" s="185"/>
      <c r="J87" s="185"/>
    </row>
    <row r="88" spans="1:10" ht="13.5" thickTop="1" x14ac:dyDescent="0.2">
      <c r="A88" s="192" t="s">
        <v>318</v>
      </c>
      <c r="B88" s="192"/>
      <c r="C88" s="192"/>
      <c r="D88" s="192"/>
      <c r="E88" s="193"/>
      <c r="F88" s="186"/>
      <c r="G88" s="187"/>
      <c r="H88" s="187"/>
      <c r="I88" s="187"/>
      <c r="J88" s="188"/>
    </row>
    <row r="89" spans="1:10" x14ac:dyDescent="0.2">
      <c r="A89" s="194"/>
      <c r="B89" s="194"/>
      <c r="C89" s="194"/>
      <c r="D89" s="194"/>
      <c r="E89" s="195"/>
      <c r="F89" s="190"/>
      <c r="G89" s="189"/>
      <c r="H89" s="189"/>
      <c r="I89" s="189"/>
      <c r="J89" s="178"/>
    </row>
    <row r="90" spans="1:10" x14ac:dyDescent="0.2">
      <c r="A90" s="194"/>
      <c r="B90" s="194"/>
      <c r="C90" s="194"/>
      <c r="D90" s="194"/>
      <c r="E90" s="195"/>
      <c r="F90" s="190"/>
      <c r="G90" s="189"/>
      <c r="H90" s="189"/>
      <c r="I90" s="189"/>
      <c r="J90" s="178"/>
    </row>
    <row r="91" spans="1:10" x14ac:dyDescent="0.2">
      <c r="A91" s="194"/>
      <c r="B91" s="194"/>
      <c r="C91" s="194"/>
      <c r="D91" s="194"/>
      <c r="E91" s="195"/>
      <c r="F91" s="190"/>
      <c r="G91" s="189"/>
      <c r="H91" s="189"/>
      <c r="I91" s="189"/>
      <c r="J91" s="178"/>
    </row>
    <row r="92" spans="1:10" x14ac:dyDescent="0.2">
      <c r="A92" s="194"/>
      <c r="B92" s="194"/>
      <c r="C92" s="194"/>
      <c r="D92" s="194"/>
      <c r="E92" s="195"/>
      <c r="F92" s="190"/>
      <c r="G92" s="189"/>
      <c r="H92" s="189"/>
      <c r="I92" s="189"/>
      <c r="J92" s="178"/>
    </row>
    <row r="93" spans="1:10" x14ac:dyDescent="0.2">
      <c r="A93" s="194"/>
      <c r="B93" s="194"/>
      <c r="C93" s="194"/>
      <c r="D93" s="194"/>
      <c r="E93" s="195"/>
      <c r="F93" s="190"/>
      <c r="G93" s="189"/>
      <c r="H93" s="189"/>
      <c r="I93" s="189"/>
      <c r="J93" s="178"/>
    </row>
    <row r="94" spans="1:10" x14ac:dyDescent="0.2">
      <c r="A94" s="194"/>
      <c r="B94" s="194"/>
      <c r="C94" s="194"/>
      <c r="D94" s="194"/>
      <c r="E94" s="195"/>
      <c r="F94" s="179"/>
      <c r="G94" s="180"/>
      <c r="H94" s="180"/>
      <c r="I94" s="180"/>
      <c r="J94" s="181"/>
    </row>
    <row r="95" spans="1:10" x14ac:dyDescent="0.2">
      <c r="A95" s="194"/>
      <c r="B95" s="194"/>
      <c r="C95" s="194"/>
      <c r="D95" s="194"/>
      <c r="E95" s="195"/>
      <c r="F95" s="179"/>
      <c r="G95" s="180"/>
      <c r="H95" s="180"/>
      <c r="I95" s="180"/>
      <c r="J95" s="181"/>
    </row>
    <row r="96" spans="1:10" x14ac:dyDescent="0.2">
      <c r="A96" s="194"/>
      <c r="B96" s="194"/>
      <c r="C96" s="194"/>
      <c r="D96" s="194"/>
      <c r="E96" s="195"/>
      <c r="F96" s="179"/>
      <c r="G96" s="180"/>
      <c r="H96" s="180"/>
      <c r="I96" s="180"/>
      <c r="J96" s="181"/>
    </row>
    <row r="97" spans="1:10" x14ac:dyDescent="0.2">
      <c r="A97" s="194"/>
      <c r="B97" s="194"/>
      <c r="C97" s="194"/>
      <c r="D97" s="194"/>
      <c r="E97" s="195"/>
      <c r="F97" s="179"/>
      <c r="G97" s="180"/>
      <c r="H97" s="180"/>
      <c r="I97" s="180"/>
      <c r="J97" s="181"/>
    </row>
    <row r="98" spans="1:10" ht="13.5" thickBot="1" x14ac:dyDescent="0.25">
      <c r="A98" s="194"/>
      <c r="B98" s="194"/>
      <c r="C98" s="194"/>
      <c r="D98" s="194"/>
      <c r="E98" s="195"/>
      <c r="F98" s="182"/>
      <c r="G98" s="183"/>
      <c r="H98" s="183"/>
      <c r="I98" s="183"/>
      <c r="J98" s="184"/>
    </row>
    <row r="99" spans="1:10" ht="18" thickBot="1" x14ac:dyDescent="0.35">
      <c r="A99" s="199" t="s">
        <v>315</v>
      </c>
      <c r="B99" s="199"/>
      <c r="C99" s="199"/>
      <c r="D99" s="199"/>
      <c r="E99" s="199"/>
      <c r="F99" s="185"/>
      <c r="G99" s="185"/>
      <c r="H99" s="185"/>
      <c r="I99" s="185"/>
      <c r="J99" s="185"/>
    </row>
    <row r="100" spans="1:10" ht="13.5" thickTop="1" x14ac:dyDescent="0.2">
      <c r="A100" s="192" t="s">
        <v>319</v>
      </c>
      <c r="B100" s="192"/>
      <c r="C100" s="192"/>
      <c r="D100" s="192"/>
      <c r="E100" s="193"/>
      <c r="F100" s="186"/>
      <c r="G100" s="187"/>
      <c r="H100" s="187"/>
      <c r="I100" s="187"/>
      <c r="J100" s="188"/>
    </row>
    <row r="101" spans="1:10" x14ac:dyDescent="0.2">
      <c r="A101" s="194"/>
      <c r="B101" s="194"/>
      <c r="C101" s="194"/>
      <c r="D101" s="194"/>
      <c r="E101" s="195"/>
      <c r="F101" s="190"/>
      <c r="G101" s="189"/>
      <c r="H101" s="189"/>
      <c r="I101" s="189"/>
      <c r="J101" s="178"/>
    </row>
    <row r="102" spans="1:10" x14ac:dyDescent="0.2">
      <c r="A102" s="194"/>
      <c r="B102" s="194"/>
      <c r="C102" s="194"/>
      <c r="D102" s="194"/>
      <c r="E102" s="195"/>
      <c r="F102" s="190"/>
      <c r="G102" s="189"/>
      <c r="H102" s="189"/>
      <c r="I102" s="189"/>
      <c r="J102" s="178"/>
    </row>
    <row r="103" spans="1:10" x14ac:dyDescent="0.2">
      <c r="A103" s="194"/>
      <c r="B103" s="194"/>
      <c r="C103" s="194"/>
      <c r="D103" s="194"/>
      <c r="E103" s="195"/>
      <c r="F103" s="190"/>
      <c r="G103" s="189"/>
      <c r="H103" s="189"/>
      <c r="I103" s="189"/>
      <c r="J103" s="178"/>
    </row>
    <row r="104" spans="1:10" x14ac:dyDescent="0.2">
      <c r="A104" s="194"/>
      <c r="B104" s="194"/>
      <c r="C104" s="194"/>
      <c r="D104" s="194"/>
      <c r="E104" s="195"/>
      <c r="F104" s="190"/>
      <c r="G104" s="189"/>
      <c r="H104" s="189"/>
      <c r="I104" s="189"/>
      <c r="J104" s="178"/>
    </row>
    <row r="105" spans="1:10" x14ac:dyDescent="0.2">
      <c r="A105" s="194"/>
      <c r="B105" s="194"/>
      <c r="C105" s="194"/>
      <c r="D105" s="194"/>
      <c r="E105" s="195"/>
      <c r="F105" s="190"/>
      <c r="G105" s="189"/>
      <c r="H105" s="189"/>
      <c r="I105" s="189"/>
      <c r="J105" s="178"/>
    </row>
    <row r="106" spans="1:10" x14ac:dyDescent="0.2">
      <c r="A106" s="194"/>
      <c r="B106" s="194"/>
      <c r="C106" s="194"/>
      <c r="D106" s="194"/>
      <c r="E106" s="195"/>
      <c r="F106" s="179"/>
      <c r="G106" s="180"/>
      <c r="H106" s="180"/>
      <c r="I106" s="180"/>
      <c r="J106" s="181"/>
    </row>
    <row r="107" spans="1:10" x14ac:dyDescent="0.2">
      <c r="A107" s="194"/>
      <c r="B107" s="194"/>
      <c r="C107" s="194"/>
      <c r="D107" s="194"/>
      <c r="E107" s="195"/>
      <c r="F107" s="179"/>
      <c r="G107" s="180"/>
      <c r="H107" s="180"/>
      <c r="I107" s="180"/>
      <c r="J107" s="181"/>
    </row>
    <row r="108" spans="1:10" x14ac:dyDescent="0.2">
      <c r="A108" s="194"/>
      <c r="B108" s="194"/>
      <c r="C108" s="194"/>
      <c r="D108" s="194"/>
      <c r="E108" s="195"/>
      <c r="F108" s="179"/>
      <c r="G108" s="180"/>
      <c r="H108" s="180"/>
      <c r="I108" s="180"/>
      <c r="J108" s="181"/>
    </row>
    <row r="109" spans="1:10" x14ac:dyDescent="0.2">
      <c r="A109" s="194"/>
      <c r="B109" s="194"/>
      <c r="C109" s="194"/>
      <c r="D109" s="194"/>
      <c r="E109" s="195"/>
      <c r="F109" s="179"/>
      <c r="G109" s="180"/>
      <c r="H109" s="180"/>
      <c r="I109" s="180"/>
      <c r="J109" s="181"/>
    </row>
    <row r="110" spans="1:10" ht="13.5" thickBot="1" x14ac:dyDescent="0.25">
      <c r="A110" s="194"/>
      <c r="B110" s="194"/>
      <c r="C110" s="194"/>
      <c r="D110" s="194"/>
      <c r="E110" s="195"/>
      <c r="F110" s="182"/>
      <c r="G110" s="183"/>
      <c r="H110" s="183"/>
      <c r="I110" s="183"/>
      <c r="J110" s="184"/>
    </row>
    <row r="111" spans="1:10" ht="18" thickBot="1" x14ac:dyDescent="0.35">
      <c r="A111" s="199" t="s">
        <v>316</v>
      </c>
      <c r="B111" s="199"/>
      <c r="C111" s="199"/>
      <c r="D111" s="199"/>
      <c r="E111" s="199"/>
      <c r="F111" s="185"/>
      <c r="G111" s="185"/>
      <c r="H111" s="185"/>
      <c r="I111" s="185"/>
      <c r="J111" s="185"/>
    </row>
    <row r="112" spans="1:10" ht="13.5" thickTop="1" x14ac:dyDescent="0.2">
      <c r="A112" s="192" t="s">
        <v>320</v>
      </c>
      <c r="B112" s="192"/>
      <c r="C112" s="192"/>
      <c r="D112" s="192"/>
      <c r="E112" s="193"/>
      <c r="F112" s="186"/>
      <c r="G112" s="187"/>
      <c r="H112" s="187"/>
      <c r="I112" s="187"/>
      <c r="J112" s="188"/>
    </row>
    <row r="113" spans="1:10" x14ac:dyDescent="0.2">
      <c r="A113" s="194"/>
      <c r="B113" s="194"/>
      <c r="C113" s="194"/>
      <c r="D113" s="194"/>
      <c r="E113" s="195"/>
      <c r="F113" s="190"/>
      <c r="G113" s="189"/>
      <c r="H113" s="189"/>
      <c r="I113" s="189"/>
      <c r="J113" s="178"/>
    </row>
    <row r="114" spans="1:10" x14ac:dyDescent="0.2">
      <c r="A114" s="194"/>
      <c r="B114" s="194"/>
      <c r="C114" s="194"/>
      <c r="D114" s="194"/>
      <c r="E114" s="195"/>
      <c r="F114" s="190"/>
      <c r="G114" s="189"/>
      <c r="H114" s="189"/>
      <c r="I114" s="189"/>
      <c r="J114" s="178"/>
    </row>
    <row r="115" spans="1:10" x14ac:dyDescent="0.2">
      <c r="A115" s="194"/>
      <c r="B115" s="194"/>
      <c r="C115" s="194"/>
      <c r="D115" s="194"/>
      <c r="E115" s="195"/>
      <c r="F115" s="190"/>
      <c r="G115" s="189"/>
      <c r="H115" s="189"/>
      <c r="I115" s="189"/>
      <c r="J115" s="178"/>
    </row>
    <row r="116" spans="1:10" x14ac:dyDescent="0.2">
      <c r="A116" s="194"/>
      <c r="B116" s="194"/>
      <c r="C116" s="194"/>
      <c r="D116" s="194"/>
      <c r="E116" s="195"/>
      <c r="F116" s="190"/>
      <c r="G116" s="189"/>
      <c r="H116" s="189"/>
      <c r="I116" s="189"/>
      <c r="J116" s="178"/>
    </row>
    <row r="117" spans="1:10" x14ac:dyDescent="0.2">
      <c r="A117" s="194"/>
      <c r="B117" s="194"/>
      <c r="C117" s="194"/>
      <c r="D117" s="194"/>
      <c r="E117" s="195"/>
      <c r="F117" s="190"/>
      <c r="G117" s="189"/>
      <c r="H117" s="189"/>
      <c r="I117" s="189"/>
      <c r="J117" s="178"/>
    </row>
    <row r="118" spans="1:10" x14ac:dyDescent="0.2">
      <c r="A118" s="194"/>
      <c r="B118" s="194"/>
      <c r="C118" s="194"/>
      <c r="D118" s="194"/>
      <c r="E118" s="195"/>
      <c r="F118" s="179"/>
      <c r="G118" s="180"/>
      <c r="H118" s="180"/>
      <c r="I118" s="180"/>
      <c r="J118" s="181"/>
    </row>
    <row r="119" spans="1:10" x14ac:dyDescent="0.2">
      <c r="A119" s="194"/>
      <c r="B119" s="194"/>
      <c r="C119" s="194"/>
      <c r="D119" s="194"/>
      <c r="E119" s="195"/>
      <c r="F119" s="179"/>
      <c r="G119" s="180"/>
      <c r="H119" s="180"/>
      <c r="I119" s="180"/>
      <c r="J119" s="181"/>
    </row>
    <row r="120" spans="1:10" x14ac:dyDescent="0.2">
      <c r="A120" s="194"/>
      <c r="B120" s="194"/>
      <c r="C120" s="194"/>
      <c r="D120" s="194"/>
      <c r="E120" s="195"/>
      <c r="F120" s="179"/>
      <c r="G120" s="180"/>
      <c r="H120" s="180"/>
      <c r="I120" s="180"/>
      <c r="J120" s="181"/>
    </row>
    <row r="121" spans="1:10" x14ac:dyDescent="0.2">
      <c r="A121" s="194"/>
      <c r="B121" s="194"/>
      <c r="C121" s="194"/>
      <c r="D121" s="194"/>
      <c r="E121" s="195"/>
      <c r="F121" s="179"/>
      <c r="G121" s="180"/>
      <c r="H121" s="180"/>
      <c r="I121" s="180"/>
      <c r="J121" s="181"/>
    </row>
    <row r="122" spans="1:10" ht="13.5" thickBot="1" x14ac:dyDescent="0.25">
      <c r="A122" s="194"/>
      <c r="B122" s="194"/>
      <c r="C122" s="194"/>
      <c r="D122" s="194"/>
      <c r="E122" s="195"/>
      <c r="F122" s="182"/>
      <c r="G122" s="183"/>
      <c r="H122" s="183"/>
      <c r="I122" s="183"/>
      <c r="J122" s="184"/>
    </row>
  </sheetData>
  <mergeCells count="39">
    <mergeCell ref="A99:E99"/>
    <mergeCell ref="A100:E110"/>
    <mergeCell ref="A111:E111"/>
    <mergeCell ref="A112:E122"/>
    <mergeCell ref="L1:U1"/>
    <mergeCell ref="A23:J28"/>
    <mergeCell ref="L2:U8"/>
    <mergeCell ref="A76:E76"/>
    <mergeCell ref="F77:J86"/>
    <mergeCell ref="A77:E86"/>
    <mergeCell ref="A87:E87"/>
    <mergeCell ref="A88:E98"/>
    <mergeCell ref="A61:J62"/>
    <mergeCell ref="A63:J63"/>
    <mergeCell ref="A64:J69"/>
    <mergeCell ref="A70:J72"/>
    <mergeCell ref="A73:J75"/>
    <mergeCell ref="A56:J58"/>
    <mergeCell ref="A59:J59"/>
    <mergeCell ref="A60:J60"/>
    <mergeCell ref="A48:J54"/>
    <mergeCell ref="A47:J47"/>
    <mergeCell ref="A55:J55"/>
    <mergeCell ref="A1:J1"/>
    <mergeCell ref="A2:J2"/>
    <mergeCell ref="A3:J3"/>
    <mergeCell ref="A6:J6"/>
    <mergeCell ref="A7:J7"/>
    <mergeCell ref="A30:E46"/>
    <mergeCell ref="A21:J21"/>
    <mergeCell ref="A4:J4"/>
    <mergeCell ref="A5:J5"/>
    <mergeCell ref="A22:J22"/>
    <mergeCell ref="F30:J46"/>
    <mergeCell ref="A29:E29"/>
    <mergeCell ref="H10:J20"/>
    <mergeCell ref="A8:J8"/>
    <mergeCell ref="A9:J9"/>
    <mergeCell ref="A10:G20"/>
  </mergeCells>
  <pageMargins left="0.7" right="0.7" top="0.75" bottom="0.75" header="0.3" footer="0.3"/>
  <pageSetup orientation="portrait" verticalDpi="0"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F0CB36-0C64-4243-822A-B1F09F0266D7}">
  <sheetPr codeName="Sheet1">
    <tabColor rgb="FF00B050"/>
  </sheetPr>
  <dimension ref="A1:AN106"/>
  <sheetViews>
    <sheetView tabSelected="1" workbookViewId="0">
      <selection activeCell="R39" sqref="R39"/>
    </sheetView>
  </sheetViews>
  <sheetFormatPr defaultRowHeight="12.75" x14ac:dyDescent="0.2"/>
  <cols>
    <col min="1" max="1" width="12.7109375" bestFit="1" customWidth="1"/>
    <col min="3" max="3" width="1.42578125" customWidth="1"/>
    <col min="4" max="4" width="12.7109375" bestFit="1" customWidth="1"/>
    <col min="5" max="5" width="9.7109375" bestFit="1" customWidth="1"/>
    <col min="6" max="6" width="1.42578125" customWidth="1"/>
    <col min="7" max="7" width="14.85546875" bestFit="1" customWidth="1"/>
    <col min="8" max="8" width="10.28515625" style="13" customWidth="1"/>
    <col min="9" max="9" width="1.42578125" customWidth="1"/>
    <col min="10" max="10" width="13.140625" bestFit="1" customWidth="1"/>
    <col min="11" max="11" width="8.7109375" bestFit="1" customWidth="1"/>
    <col min="12" max="12" width="5.7109375" bestFit="1" customWidth="1"/>
    <col min="13" max="13" width="1.42578125" style="13" customWidth="1"/>
    <col min="14" max="14" width="16.85546875" bestFit="1" customWidth="1"/>
    <col min="15" max="15" width="8.7109375" bestFit="1" customWidth="1"/>
    <col min="16" max="16" width="5.7109375" customWidth="1"/>
    <col min="17" max="17" width="1.42578125" style="13" customWidth="1"/>
    <col min="18" max="18" width="14.28515625" bestFit="1" customWidth="1"/>
    <col min="19" max="19" width="10.28515625" bestFit="1" customWidth="1"/>
    <col min="20" max="20" width="5.7109375" customWidth="1"/>
    <col min="21" max="21" width="1.42578125" style="13" customWidth="1"/>
    <col min="22" max="22" width="13.140625" bestFit="1" customWidth="1"/>
    <col min="23" max="23" width="8.7109375" bestFit="1" customWidth="1"/>
    <col min="24" max="24" width="5.7109375" customWidth="1"/>
    <col min="25" max="25" width="1.42578125" style="13" customWidth="1"/>
    <col min="26" max="26" width="12.5703125" bestFit="1" customWidth="1"/>
    <col min="27" max="27" width="8.7109375" bestFit="1" customWidth="1"/>
    <col min="28" max="28" width="5.7109375" customWidth="1"/>
    <col min="29" max="29" width="1.42578125" style="13" customWidth="1"/>
    <col min="30" max="30" width="13.5703125" bestFit="1" customWidth="1"/>
    <col min="31" max="31" width="6.7109375" bestFit="1" customWidth="1"/>
    <col min="32" max="32" width="5.7109375" customWidth="1"/>
    <col min="33" max="33" width="1.42578125" style="13" customWidth="1"/>
    <col min="34" max="34" width="12.7109375" bestFit="1" customWidth="1"/>
    <col min="35" max="35" width="10.28515625" bestFit="1" customWidth="1"/>
    <col min="36" max="36" width="5.7109375" customWidth="1"/>
    <col min="37" max="37" width="1.42578125" customWidth="1"/>
    <col min="38" max="38" width="19.140625" bestFit="1" customWidth="1"/>
    <col min="39" max="39" width="8.7109375" bestFit="1" customWidth="1"/>
    <col min="40" max="40" width="6.5703125" bestFit="1" customWidth="1"/>
  </cols>
  <sheetData>
    <row r="1" spans="1:40" ht="13.5" thickBot="1" x14ac:dyDescent="0.25">
      <c r="A1" s="227" t="s">
        <v>216</v>
      </c>
      <c r="B1" s="226"/>
      <c r="D1" s="227" t="s">
        <v>215</v>
      </c>
      <c r="E1" s="226"/>
      <c r="F1" s="16"/>
      <c r="G1" s="231" t="s">
        <v>68</v>
      </c>
      <c r="H1" s="231"/>
      <c r="I1" s="16"/>
      <c r="J1" s="226" t="s">
        <v>37</v>
      </c>
      <c r="K1" s="226"/>
      <c r="L1" s="226"/>
      <c r="M1" s="226"/>
      <c r="N1" s="226"/>
      <c r="O1" s="226"/>
      <c r="P1" s="226"/>
      <c r="Q1" s="226"/>
      <c r="R1" s="226"/>
      <c r="S1" s="226"/>
      <c r="T1" s="226"/>
      <c r="U1" s="226"/>
      <c r="V1" s="226"/>
      <c r="W1" s="226"/>
      <c r="X1" s="226"/>
      <c r="Y1" s="226"/>
      <c r="Z1" s="226"/>
      <c r="AA1" s="226"/>
      <c r="AB1" s="226"/>
      <c r="AC1" s="226"/>
      <c r="AD1" s="226"/>
      <c r="AE1" s="226"/>
      <c r="AF1" s="226"/>
      <c r="AG1" s="226"/>
      <c r="AH1" s="226"/>
      <c r="AI1" s="226"/>
      <c r="AJ1" s="226"/>
      <c r="AK1" s="226"/>
      <c r="AL1" s="226"/>
      <c r="AM1" s="226"/>
      <c r="AN1" s="226"/>
    </row>
    <row r="2" spans="1:40" ht="13.5" thickBot="1" x14ac:dyDescent="0.25">
      <c r="A2" s="24" t="s">
        <v>66</v>
      </c>
      <c r="B2" s="25">
        <v>2020</v>
      </c>
      <c r="D2" s="227" t="s">
        <v>214</v>
      </c>
      <c r="E2" s="226"/>
      <c r="G2" s="17" t="s">
        <v>35</v>
      </c>
      <c r="H2" s="17">
        <v>2100</v>
      </c>
      <c r="J2" s="230" t="s">
        <v>38</v>
      </c>
      <c r="K2" s="230"/>
      <c r="L2" s="28" t="s">
        <v>249</v>
      </c>
      <c r="N2" s="230" t="s">
        <v>42</v>
      </c>
      <c r="O2" s="230"/>
      <c r="P2" s="28" t="s">
        <v>249</v>
      </c>
      <c r="R2" s="229" t="s">
        <v>55</v>
      </c>
      <c r="S2" s="230"/>
      <c r="T2" s="28" t="s">
        <v>249</v>
      </c>
      <c r="V2" s="230" t="s">
        <v>15</v>
      </c>
      <c r="W2" s="230"/>
      <c r="X2" s="28" t="s">
        <v>249</v>
      </c>
      <c r="Z2" s="229" t="s">
        <v>17</v>
      </c>
      <c r="AA2" s="230"/>
      <c r="AB2" s="28" t="s">
        <v>249</v>
      </c>
      <c r="AD2" s="229" t="s">
        <v>57</v>
      </c>
      <c r="AE2" s="230"/>
      <c r="AF2" s="28" t="s">
        <v>249</v>
      </c>
      <c r="AH2" s="229" t="s">
        <v>63</v>
      </c>
      <c r="AI2" s="230"/>
      <c r="AJ2" s="28" t="s">
        <v>249</v>
      </c>
      <c r="AL2" s="229" t="s">
        <v>56</v>
      </c>
      <c r="AM2" s="230"/>
      <c r="AN2" s="1" t="s">
        <v>254</v>
      </c>
    </row>
    <row r="3" spans="1:40" x14ac:dyDescent="0.2">
      <c r="D3" s="2" t="s">
        <v>33</v>
      </c>
      <c r="E3" s="2">
        <v>7000</v>
      </c>
      <c r="F3" s="11"/>
      <c r="G3" s="231" t="s">
        <v>34</v>
      </c>
      <c r="H3" s="231"/>
      <c r="I3" s="11"/>
      <c r="J3" s="5" t="s">
        <v>39</v>
      </c>
      <c r="K3" s="18">
        <v>75</v>
      </c>
      <c r="L3" s="135" t="s">
        <v>5</v>
      </c>
      <c r="M3" s="12"/>
      <c r="N3" s="6" t="s">
        <v>12</v>
      </c>
      <c r="O3" s="19">
        <v>126.14</v>
      </c>
      <c r="P3" s="136" t="s">
        <v>7</v>
      </c>
      <c r="Q3" s="12"/>
      <c r="R3" s="7" t="s">
        <v>60</v>
      </c>
      <c r="S3" s="20">
        <v>80</v>
      </c>
      <c r="T3" s="134"/>
      <c r="U3" s="14"/>
      <c r="V3" s="8" t="s">
        <v>47</v>
      </c>
      <c r="W3" s="21">
        <v>425</v>
      </c>
      <c r="X3" s="133"/>
      <c r="Y3" s="12"/>
      <c r="Z3" s="129" t="s">
        <v>16</v>
      </c>
      <c r="AA3" s="130">
        <v>20</v>
      </c>
      <c r="AB3" s="137"/>
      <c r="AC3" s="4"/>
      <c r="AD3" s="127" t="s">
        <v>58</v>
      </c>
      <c r="AE3" s="128">
        <v>9.99</v>
      </c>
      <c r="AF3" s="138"/>
      <c r="AG3" s="15"/>
      <c r="AH3" s="10" t="s">
        <v>64</v>
      </c>
      <c r="AI3" s="23">
        <v>1000</v>
      </c>
      <c r="AJ3" s="139"/>
      <c r="AL3" s="9" t="s">
        <v>67</v>
      </c>
      <c r="AM3" s="22">
        <v>110</v>
      </c>
      <c r="AN3" s="140"/>
    </row>
    <row r="4" spans="1:40" x14ac:dyDescent="0.2">
      <c r="A4" s="228" t="s">
        <v>224</v>
      </c>
      <c r="B4" s="228"/>
      <c r="D4" s="17" t="s">
        <v>23</v>
      </c>
      <c r="E4" s="17">
        <v>100</v>
      </c>
      <c r="F4" s="11"/>
      <c r="G4" t="str">
        <f>"Jan-"&amp;$B$2</f>
        <v>Jan-2020</v>
      </c>
      <c r="H4">
        <v>0</v>
      </c>
      <c r="I4" s="11"/>
      <c r="J4" s="5" t="s">
        <v>40</v>
      </c>
      <c r="K4" s="18">
        <v>220</v>
      </c>
      <c r="L4" s="135" t="s">
        <v>7</v>
      </c>
      <c r="M4" s="12"/>
      <c r="N4" s="6" t="s">
        <v>43</v>
      </c>
      <c r="O4" s="19">
        <v>29.95</v>
      </c>
      <c r="P4" s="136" t="s">
        <v>250</v>
      </c>
      <c r="R4" s="7" t="s">
        <v>59</v>
      </c>
      <c r="S4" s="20">
        <v>101</v>
      </c>
      <c r="T4" s="134"/>
      <c r="V4" s="8" t="s">
        <v>139</v>
      </c>
      <c r="W4" s="21">
        <v>0</v>
      </c>
      <c r="X4" s="133"/>
      <c r="Z4" s="129" t="s">
        <v>51</v>
      </c>
      <c r="AA4" s="130">
        <v>30</v>
      </c>
      <c r="AB4" s="137"/>
      <c r="AD4" s="127" t="s">
        <v>173</v>
      </c>
      <c r="AE4" s="128">
        <v>8</v>
      </c>
      <c r="AF4" s="138"/>
      <c r="AH4" s="10" t="s">
        <v>32</v>
      </c>
      <c r="AI4" s="23">
        <v>15</v>
      </c>
      <c r="AJ4" s="139"/>
      <c r="AL4" s="9" t="s">
        <v>76</v>
      </c>
      <c r="AM4" s="22">
        <v>0</v>
      </c>
      <c r="AN4" s="140"/>
    </row>
    <row r="5" spans="1:40" x14ac:dyDescent="0.2">
      <c r="A5" s="228"/>
      <c r="B5" s="228"/>
      <c r="F5" s="11"/>
      <c r="G5" t="str">
        <f>"Feb-"&amp;$B$2</f>
        <v>Feb-2020</v>
      </c>
      <c r="H5">
        <v>0</v>
      </c>
      <c r="I5" s="11"/>
      <c r="J5" s="5" t="s">
        <v>89</v>
      </c>
      <c r="K5" s="18">
        <v>0</v>
      </c>
      <c r="L5" s="135"/>
      <c r="M5" s="12"/>
      <c r="N5" s="6" t="s">
        <v>106</v>
      </c>
      <c r="O5" s="19">
        <v>0</v>
      </c>
      <c r="P5" s="136"/>
      <c r="R5" s="7" t="s">
        <v>45</v>
      </c>
      <c r="S5" s="20">
        <v>120</v>
      </c>
      <c r="T5" s="134"/>
      <c r="V5" s="8" t="s">
        <v>140</v>
      </c>
      <c r="W5" s="21">
        <v>0</v>
      </c>
      <c r="X5" s="133"/>
      <c r="Z5" s="129" t="s">
        <v>52</v>
      </c>
      <c r="AA5" s="130">
        <v>40</v>
      </c>
      <c r="AB5" s="137"/>
      <c r="AD5" s="127" t="s">
        <v>174</v>
      </c>
      <c r="AE5" s="128">
        <v>0</v>
      </c>
      <c r="AF5" s="138"/>
      <c r="AH5" s="10" t="s">
        <v>61</v>
      </c>
      <c r="AI5" s="23">
        <v>35</v>
      </c>
      <c r="AJ5" s="139"/>
      <c r="AL5" s="9" t="s">
        <v>77</v>
      </c>
      <c r="AM5" s="22">
        <v>0</v>
      </c>
      <c r="AN5" s="140"/>
    </row>
    <row r="6" spans="1:40" x14ac:dyDescent="0.2">
      <c r="A6" s="228"/>
      <c r="B6" s="228"/>
      <c r="D6" s="2" t="s">
        <v>207</v>
      </c>
      <c r="E6" s="2">
        <v>0</v>
      </c>
      <c r="G6" t="str">
        <f>"Mar-"&amp;$B$2</f>
        <v>Mar-2020</v>
      </c>
      <c r="H6">
        <v>0</v>
      </c>
      <c r="J6" s="5" t="s">
        <v>90</v>
      </c>
      <c r="K6" s="18">
        <v>0</v>
      </c>
      <c r="L6" s="135"/>
      <c r="N6" s="6" t="s">
        <v>107</v>
      </c>
      <c r="O6" s="19">
        <v>0</v>
      </c>
      <c r="P6" s="136"/>
      <c r="R6" s="7" t="s">
        <v>122</v>
      </c>
      <c r="S6" s="20">
        <v>0</v>
      </c>
      <c r="T6" s="134"/>
      <c r="V6" s="8" t="s">
        <v>141</v>
      </c>
      <c r="W6" s="21">
        <v>0</v>
      </c>
      <c r="X6" s="133"/>
      <c r="Z6" s="129" t="s">
        <v>158</v>
      </c>
      <c r="AA6" s="130">
        <v>0</v>
      </c>
      <c r="AB6" s="137"/>
      <c r="AD6" s="127" t="s">
        <v>175</v>
      </c>
      <c r="AE6" s="128">
        <v>0</v>
      </c>
      <c r="AF6" s="138"/>
      <c r="AH6" s="10" t="s">
        <v>62</v>
      </c>
      <c r="AI6" s="23">
        <v>115</v>
      </c>
      <c r="AJ6" s="139"/>
      <c r="AL6" s="9" t="s">
        <v>78</v>
      </c>
      <c r="AM6" s="22">
        <v>0</v>
      </c>
      <c r="AN6" s="140"/>
    </row>
    <row r="7" spans="1:40" x14ac:dyDescent="0.2">
      <c r="A7" s="228"/>
      <c r="B7" s="228"/>
      <c r="D7" s="17" t="s">
        <v>23</v>
      </c>
      <c r="E7" s="17">
        <v>0</v>
      </c>
      <c r="G7" t="str">
        <f>"Apr-"&amp;$B$2</f>
        <v>Apr-2020</v>
      </c>
      <c r="H7">
        <v>0</v>
      </c>
      <c r="J7" s="5" t="s">
        <v>91</v>
      </c>
      <c r="K7" s="18">
        <v>0</v>
      </c>
      <c r="L7" s="135"/>
      <c r="N7" s="6" t="s">
        <v>108</v>
      </c>
      <c r="O7" s="19">
        <v>0</v>
      </c>
      <c r="P7" s="136"/>
      <c r="R7" s="7" t="s">
        <v>123</v>
      </c>
      <c r="S7" s="20">
        <v>0</v>
      </c>
      <c r="T7" s="134"/>
      <c r="V7" s="8" t="s">
        <v>142</v>
      </c>
      <c r="W7" s="21">
        <v>0</v>
      </c>
      <c r="X7" s="133"/>
      <c r="Z7" s="129" t="s">
        <v>159</v>
      </c>
      <c r="AA7" s="130">
        <v>0</v>
      </c>
      <c r="AB7" s="137"/>
      <c r="AD7" s="127" t="s">
        <v>176</v>
      </c>
      <c r="AE7" s="128">
        <v>0</v>
      </c>
      <c r="AF7" s="138"/>
      <c r="AH7" s="10" t="s">
        <v>25</v>
      </c>
      <c r="AI7" s="23">
        <v>50</v>
      </c>
      <c r="AJ7" s="139"/>
      <c r="AL7" s="9" t="s">
        <v>79</v>
      </c>
      <c r="AM7" s="22">
        <v>0</v>
      </c>
      <c r="AN7" s="140"/>
    </row>
    <row r="8" spans="1:40" x14ac:dyDescent="0.2">
      <c r="A8" s="228"/>
      <c r="B8" s="228"/>
      <c r="G8" t="str">
        <f>"May-"&amp;$B$2</f>
        <v>May-2020</v>
      </c>
      <c r="H8">
        <v>2</v>
      </c>
      <c r="J8" s="5" t="s">
        <v>92</v>
      </c>
      <c r="K8" s="18">
        <v>0</v>
      </c>
      <c r="L8" s="135"/>
      <c r="N8" s="6" t="s">
        <v>109</v>
      </c>
      <c r="O8" s="19">
        <v>0</v>
      </c>
      <c r="P8" s="136"/>
      <c r="R8" s="7" t="s">
        <v>124</v>
      </c>
      <c r="S8" s="20">
        <v>0</v>
      </c>
      <c r="T8" s="134"/>
      <c r="V8" s="8" t="s">
        <v>143</v>
      </c>
      <c r="W8" s="21">
        <v>0</v>
      </c>
      <c r="X8" s="133"/>
      <c r="Z8" s="129" t="s">
        <v>160</v>
      </c>
      <c r="AA8" s="130">
        <v>0</v>
      </c>
      <c r="AB8" s="137"/>
      <c r="AD8" s="127" t="s">
        <v>177</v>
      </c>
      <c r="AE8" s="128">
        <v>0</v>
      </c>
      <c r="AF8" s="138"/>
      <c r="AH8" s="10" t="s">
        <v>26</v>
      </c>
      <c r="AI8" s="23">
        <v>75</v>
      </c>
      <c r="AJ8" s="139"/>
      <c r="AL8" s="9" t="s">
        <v>80</v>
      </c>
      <c r="AM8" s="22">
        <v>0</v>
      </c>
      <c r="AN8" s="140"/>
    </row>
    <row r="9" spans="1:40" x14ac:dyDescent="0.2">
      <c r="A9" s="228"/>
      <c r="B9" s="228"/>
      <c r="D9" s="2" t="s">
        <v>208</v>
      </c>
      <c r="E9" s="2">
        <v>0</v>
      </c>
      <c r="G9" t="str">
        <f>"Jun-"&amp;$B$2</f>
        <v>Jun-2020</v>
      </c>
      <c r="H9">
        <v>2</v>
      </c>
      <c r="J9" s="5" t="s">
        <v>93</v>
      </c>
      <c r="K9" s="18">
        <v>0</v>
      </c>
      <c r="L9" s="135"/>
      <c r="N9" s="6" t="s">
        <v>110</v>
      </c>
      <c r="O9" s="19">
        <v>0</v>
      </c>
      <c r="P9" s="136"/>
      <c r="R9" s="7" t="s">
        <v>125</v>
      </c>
      <c r="S9" s="20">
        <v>0</v>
      </c>
      <c r="T9" s="134"/>
      <c r="V9" s="8" t="s">
        <v>144</v>
      </c>
      <c r="W9" s="21">
        <v>0</v>
      </c>
      <c r="X9" s="133"/>
      <c r="Z9" s="129" t="s">
        <v>161</v>
      </c>
      <c r="AA9" s="130">
        <v>0</v>
      </c>
      <c r="AB9" s="137"/>
      <c r="AD9" s="127" t="s">
        <v>178</v>
      </c>
      <c r="AE9" s="128">
        <v>0</v>
      </c>
      <c r="AF9" s="138"/>
      <c r="AH9" s="10" t="s">
        <v>192</v>
      </c>
      <c r="AI9" s="23">
        <v>0</v>
      </c>
      <c r="AJ9" s="139"/>
      <c r="AL9" s="9" t="s">
        <v>81</v>
      </c>
      <c r="AM9" s="22">
        <v>0</v>
      </c>
      <c r="AN9" s="140"/>
    </row>
    <row r="10" spans="1:40" x14ac:dyDescent="0.2">
      <c r="A10" s="228"/>
      <c r="B10" s="228"/>
      <c r="D10" s="17" t="s">
        <v>23</v>
      </c>
      <c r="E10" s="17">
        <v>0</v>
      </c>
      <c r="G10" t="str">
        <f>"Jul-"&amp;$B$2</f>
        <v>Jul-2020</v>
      </c>
      <c r="H10">
        <v>3</v>
      </c>
      <c r="J10" s="5" t="s">
        <v>94</v>
      </c>
      <c r="K10" s="18">
        <v>0</v>
      </c>
      <c r="L10" s="135"/>
      <c r="N10" s="6" t="s">
        <v>111</v>
      </c>
      <c r="O10" s="19">
        <v>0</v>
      </c>
      <c r="P10" s="136"/>
      <c r="R10" s="7" t="s">
        <v>126</v>
      </c>
      <c r="S10" s="20">
        <v>0</v>
      </c>
      <c r="T10" s="134"/>
      <c r="V10" s="8" t="s">
        <v>145</v>
      </c>
      <c r="W10" s="21">
        <v>0</v>
      </c>
      <c r="X10" s="133"/>
      <c r="Z10" s="129" t="s">
        <v>170</v>
      </c>
      <c r="AA10" s="130">
        <v>0</v>
      </c>
      <c r="AB10" s="137"/>
      <c r="AD10" s="127" t="s">
        <v>179</v>
      </c>
      <c r="AE10" s="128">
        <v>0</v>
      </c>
      <c r="AF10" s="138"/>
      <c r="AH10" s="10" t="s">
        <v>193</v>
      </c>
      <c r="AI10" s="23">
        <v>0</v>
      </c>
      <c r="AJ10" s="139"/>
      <c r="AL10" s="9" t="s">
        <v>82</v>
      </c>
      <c r="AM10" s="22">
        <v>0</v>
      </c>
      <c r="AN10" s="140"/>
    </row>
    <row r="11" spans="1:40" x14ac:dyDescent="0.2">
      <c r="A11" s="228"/>
      <c r="B11" s="228"/>
      <c r="G11" t="str">
        <f>"Aug-"&amp;$B$2</f>
        <v>Aug-2020</v>
      </c>
      <c r="H11">
        <v>2</v>
      </c>
      <c r="J11" s="5" t="s">
        <v>95</v>
      </c>
      <c r="K11" s="18">
        <v>0</v>
      </c>
      <c r="L11" s="135"/>
      <c r="N11" s="6" t="s">
        <v>112</v>
      </c>
      <c r="O11" s="19">
        <v>0</v>
      </c>
      <c r="P11" s="136"/>
      <c r="R11" s="7" t="s">
        <v>127</v>
      </c>
      <c r="S11" s="20">
        <v>0</v>
      </c>
      <c r="T11" s="134"/>
      <c r="V11" s="8" t="s">
        <v>146</v>
      </c>
      <c r="W11" s="21">
        <v>0</v>
      </c>
      <c r="X11" s="133"/>
      <c r="Z11" s="129" t="s">
        <v>171</v>
      </c>
      <c r="AA11" s="130">
        <v>0</v>
      </c>
      <c r="AB11" s="137"/>
      <c r="AD11" s="127" t="s">
        <v>180</v>
      </c>
      <c r="AE11" s="128">
        <v>0</v>
      </c>
      <c r="AF11" s="138"/>
      <c r="AH11" s="10" t="s">
        <v>194</v>
      </c>
      <c r="AI11" s="23">
        <v>0</v>
      </c>
      <c r="AJ11" s="139"/>
      <c r="AL11" s="9" t="s">
        <v>83</v>
      </c>
      <c r="AM11" s="22">
        <v>0</v>
      </c>
      <c r="AN11" s="140"/>
    </row>
    <row r="12" spans="1:40" x14ac:dyDescent="0.2">
      <c r="A12" s="228"/>
      <c r="B12" s="228"/>
      <c r="D12" s="2" t="s">
        <v>223</v>
      </c>
      <c r="E12" s="2">
        <v>0</v>
      </c>
      <c r="G12" t="str">
        <f>"Sep-"&amp;$B$2</f>
        <v>Sep-2020</v>
      </c>
      <c r="H12">
        <v>2</v>
      </c>
      <c r="J12" s="5" t="s">
        <v>96</v>
      </c>
      <c r="K12" s="18">
        <v>0</v>
      </c>
      <c r="L12" s="135"/>
      <c r="N12" s="6" t="s">
        <v>113</v>
      </c>
      <c r="O12" s="19">
        <v>0</v>
      </c>
      <c r="P12" s="136"/>
      <c r="R12" s="7" t="s">
        <v>128</v>
      </c>
      <c r="S12" s="20">
        <v>0</v>
      </c>
      <c r="T12" s="134"/>
      <c r="V12" s="8" t="s">
        <v>147</v>
      </c>
      <c r="W12" s="21">
        <v>0</v>
      </c>
      <c r="X12" s="133"/>
      <c r="Z12" s="129" t="s">
        <v>172</v>
      </c>
      <c r="AA12" s="130">
        <v>0</v>
      </c>
      <c r="AB12" s="137"/>
      <c r="AD12" s="127" t="s">
        <v>181</v>
      </c>
      <c r="AE12" s="128">
        <v>0</v>
      </c>
      <c r="AF12" s="138"/>
      <c r="AH12" s="10" t="s">
        <v>195</v>
      </c>
      <c r="AI12" s="23">
        <v>0</v>
      </c>
      <c r="AJ12" s="139"/>
      <c r="AL12" s="9" t="s">
        <v>84</v>
      </c>
      <c r="AM12" s="22">
        <v>0</v>
      </c>
      <c r="AN12" s="140"/>
    </row>
    <row r="13" spans="1:40" x14ac:dyDescent="0.2">
      <c r="A13" s="228"/>
      <c r="B13" s="228"/>
      <c r="D13" s="17" t="s">
        <v>23</v>
      </c>
      <c r="E13" s="17">
        <v>0</v>
      </c>
      <c r="G13" t="str">
        <f>"Oct-"&amp;$B$2</f>
        <v>Oct-2020</v>
      </c>
      <c r="H13">
        <v>2</v>
      </c>
      <c r="J13" s="226" t="s">
        <v>36</v>
      </c>
      <c r="K13" s="226"/>
      <c r="L13" s="226"/>
      <c r="M13" s="226"/>
      <c r="N13" s="226"/>
      <c r="O13" s="226"/>
      <c r="P13" s="226"/>
      <c r="Q13" s="226"/>
      <c r="R13" s="226"/>
      <c r="S13" s="226"/>
      <c r="T13" s="226"/>
      <c r="U13" s="226"/>
      <c r="V13" s="226"/>
      <c r="W13" s="226"/>
      <c r="X13" s="226"/>
      <c r="Y13" s="226"/>
      <c r="Z13" s="226"/>
      <c r="AA13" s="226"/>
      <c r="AB13" s="226"/>
      <c r="AC13" s="226"/>
      <c r="AD13" s="226"/>
      <c r="AE13" s="226"/>
      <c r="AF13" s="226"/>
      <c r="AG13" s="226"/>
      <c r="AH13" s="226"/>
      <c r="AI13" s="226"/>
      <c r="AJ13" s="226"/>
      <c r="AK13" s="226"/>
      <c r="AL13" s="226"/>
      <c r="AM13" s="226"/>
      <c r="AN13" s="226"/>
    </row>
    <row r="14" spans="1:40" x14ac:dyDescent="0.2">
      <c r="A14" s="228"/>
      <c r="B14" s="228"/>
      <c r="G14" t="str">
        <f>"Nov-"&amp;$B$2</f>
        <v>Nov-2020</v>
      </c>
      <c r="H14">
        <v>2</v>
      </c>
      <c r="J14" s="5" t="s">
        <v>41</v>
      </c>
      <c r="K14" s="18">
        <v>150</v>
      </c>
      <c r="L14" s="135"/>
      <c r="N14" s="6" t="s">
        <v>13</v>
      </c>
      <c r="O14" s="19">
        <v>20</v>
      </c>
      <c r="P14" s="136"/>
      <c r="R14" s="7" t="s">
        <v>129</v>
      </c>
      <c r="S14" s="20">
        <v>0</v>
      </c>
      <c r="T14" s="134"/>
      <c r="V14" s="8" t="s">
        <v>148</v>
      </c>
      <c r="W14" s="21">
        <v>0</v>
      </c>
      <c r="X14" s="133"/>
      <c r="Z14" s="129" t="s">
        <v>48</v>
      </c>
      <c r="AA14" s="130">
        <v>125</v>
      </c>
      <c r="AB14" s="137"/>
      <c r="AD14" s="127" t="s">
        <v>182</v>
      </c>
      <c r="AE14" s="128">
        <v>0</v>
      </c>
      <c r="AF14" s="138"/>
      <c r="AH14" s="10" t="s">
        <v>24</v>
      </c>
      <c r="AI14" s="23">
        <v>200</v>
      </c>
      <c r="AJ14" s="139"/>
    </row>
    <row r="15" spans="1:40" ht="13.5" thickBot="1" x14ac:dyDescent="0.25">
      <c r="A15" s="228"/>
      <c r="B15" s="228"/>
      <c r="D15" s="227" t="s">
        <v>222</v>
      </c>
      <c r="E15" s="226"/>
      <c r="G15" t="str">
        <f>"Dec-"&amp;$B$2</f>
        <v>Dec-2020</v>
      </c>
      <c r="H15">
        <v>2</v>
      </c>
      <c r="J15" s="5" t="s">
        <v>97</v>
      </c>
      <c r="K15" s="18">
        <v>0</v>
      </c>
      <c r="L15" s="135"/>
      <c r="N15" s="6" t="s">
        <v>44</v>
      </c>
      <c r="O15" s="19">
        <v>25</v>
      </c>
      <c r="P15" s="136"/>
      <c r="R15" s="7" t="s">
        <v>130</v>
      </c>
      <c r="S15" s="20">
        <v>0</v>
      </c>
      <c r="T15" s="134"/>
      <c r="V15" s="8" t="s">
        <v>149</v>
      </c>
      <c r="W15" s="21">
        <v>0</v>
      </c>
      <c r="X15" s="133"/>
      <c r="Z15" s="129" t="s">
        <v>17</v>
      </c>
      <c r="AA15" s="130">
        <v>150</v>
      </c>
      <c r="AB15" s="137"/>
      <c r="AD15" s="127" t="s">
        <v>183</v>
      </c>
      <c r="AE15" s="128">
        <v>0</v>
      </c>
      <c r="AF15" s="138"/>
      <c r="AH15" s="10" t="s">
        <v>196</v>
      </c>
      <c r="AI15" s="23">
        <v>0</v>
      </c>
      <c r="AJ15" s="139"/>
    </row>
    <row r="16" spans="1:40" ht="13.5" thickBot="1" x14ac:dyDescent="0.25">
      <c r="A16" s="228"/>
      <c r="B16" s="228"/>
      <c r="D16" s="2" t="s">
        <v>4</v>
      </c>
      <c r="E16" s="2">
        <v>2346</v>
      </c>
      <c r="G16" s="26" t="s">
        <v>74</v>
      </c>
      <c r="H16" s="27">
        <v>26</v>
      </c>
      <c r="J16" s="5" t="s">
        <v>98</v>
      </c>
      <c r="K16" s="18">
        <v>0</v>
      </c>
      <c r="L16" s="135"/>
      <c r="N16" s="6" t="s">
        <v>114</v>
      </c>
      <c r="O16" s="19">
        <v>0</v>
      </c>
      <c r="P16" s="136"/>
      <c r="R16" s="7" t="s">
        <v>131</v>
      </c>
      <c r="S16" s="20">
        <v>0</v>
      </c>
      <c r="T16" s="134"/>
      <c r="V16" s="8" t="s">
        <v>150</v>
      </c>
      <c r="W16" s="21">
        <v>0</v>
      </c>
      <c r="X16" s="133"/>
      <c r="Z16" s="129" t="s">
        <v>162</v>
      </c>
      <c r="AA16" s="130">
        <v>0</v>
      </c>
      <c r="AB16" s="137"/>
      <c r="AD16" s="127" t="s">
        <v>184</v>
      </c>
      <c r="AE16" s="128">
        <v>0</v>
      </c>
      <c r="AF16" s="138"/>
      <c r="AH16" s="10" t="s">
        <v>197</v>
      </c>
      <c r="AI16" s="23">
        <v>0</v>
      </c>
      <c r="AJ16" s="139"/>
    </row>
    <row r="17" spans="1:40" x14ac:dyDescent="0.2">
      <c r="A17" s="228"/>
      <c r="B17" s="228"/>
      <c r="D17" s="17" t="s">
        <v>23</v>
      </c>
      <c r="E17" s="17">
        <v>0</v>
      </c>
      <c r="G17" s="231" t="s">
        <v>69</v>
      </c>
      <c r="H17" s="231"/>
      <c r="J17" s="5" t="s">
        <v>99</v>
      </c>
      <c r="K17" s="18">
        <v>0</v>
      </c>
      <c r="L17" s="135"/>
      <c r="N17" s="6" t="s">
        <v>115</v>
      </c>
      <c r="O17" s="19">
        <v>0</v>
      </c>
      <c r="P17" s="136"/>
      <c r="R17" s="7" t="s">
        <v>132</v>
      </c>
      <c r="S17" s="20">
        <v>0</v>
      </c>
      <c r="T17" s="134"/>
      <c r="V17" s="8" t="s">
        <v>151</v>
      </c>
      <c r="W17" s="21">
        <v>0</v>
      </c>
      <c r="X17" s="133"/>
      <c r="Z17" s="129" t="s">
        <v>163</v>
      </c>
      <c r="AA17" s="130">
        <v>0</v>
      </c>
      <c r="AB17" s="137"/>
      <c r="AD17" s="127" t="s">
        <v>185</v>
      </c>
      <c r="AE17" s="128">
        <v>0</v>
      </c>
      <c r="AF17" s="138"/>
      <c r="AH17" s="10" t="s">
        <v>198</v>
      </c>
      <c r="AI17" s="23">
        <v>0</v>
      </c>
      <c r="AJ17" s="139"/>
    </row>
    <row r="18" spans="1:40" x14ac:dyDescent="0.2">
      <c r="A18" s="24" t="s">
        <v>217</v>
      </c>
      <c r="B18" s="143">
        <v>0.1</v>
      </c>
      <c r="G18" s="17" t="s">
        <v>35</v>
      </c>
      <c r="H18" s="17">
        <v>0</v>
      </c>
      <c r="J18" s="5" t="s">
        <v>100</v>
      </c>
      <c r="K18" s="18">
        <v>0</v>
      </c>
      <c r="L18" s="135"/>
      <c r="N18" s="6" t="s">
        <v>116</v>
      </c>
      <c r="O18" s="19">
        <v>0</v>
      </c>
      <c r="P18" s="136"/>
      <c r="R18" s="7" t="s">
        <v>133</v>
      </c>
      <c r="S18" s="20">
        <v>0</v>
      </c>
      <c r="T18" s="134"/>
      <c r="V18" s="8" t="s">
        <v>152</v>
      </c>
      <c r="W18" s="21">
        <v>0</v>
      </c>
      <c r="X18" s="133"/>
      <c r="Z18" s="129" t="s">
        <v>164</v>
      </c>
      <c r="AA18" s="130">
        <v>0</v>
      </c>
      <c r="AB18" s="137"/>
      <c r="AD18" s="127" t="s">
        <v>186</v>
      </c>
      <c r="AE18" s="128">
        <v>0</v>
      </c>
      <c r="AF18" s="138"/>
      <c r="AH18" s="10" t="s">
        <v>199</v>
      </c>
      <c r="AI18" s="23">
        <v>0</v>
      </c>
      <c r="AJ18" s="139"/>
    </row>
    <row r="19" spans="1:40" x14ac:dyDescent="0.2">
      <c r="D19" s="2" t="s">
        <v>65</v>
      </c>
      <c r="E19" s="2">
        <v>1495</v>
      </c>
      <c r="G19" s="231" t="s">
        <v>34</v>
      </c>
      <c r="H19" s="231"/>
      <c r="J19" s="5" t="s">
        <v>101</v>
      </c>
      <c r="K19" s="18">
        <v>0</v>
      </c>
      <c r="L19" s="135"/>
      <c r="N19" s="6" t="s">
        <v>117</v>
      </c>
      <c r="O19" s="19">
        <v>0</v>
      </c>
      <c r="P19" s="136"/>
      <c r="R19" s="7" t="s">
        <v>134</v>
      </c>
      <c r="S19" s="20">
        <v>0</v>
      </c>
      <c r="T19" s="134"/>
      <c r="V19" s="8" t="s">
        <v>153</v>
      </c>
      <c r="W19" s="21">
        <v>0</v>
      </c>
      <c r="X19" s="133"/>
      <c r="Z19" s="129" t="s">
        <v>165</v>
      </c>
      <c r="AA19" s="130">
        <v>0</v>
      </c>
      <c r="AB19" s="137"/>
      <c r="AD19" s="127" t="s">
        <v>187</v>
      </c>
      <c r="AE19" s="128">
        <v>0</v>
      </c>
      <c r="AF19" s="138"/>
      <c r="AH19" s="10" t="s">
        <v>200</v>
      </c>
      <c r="AI19" s="23">
        <v>0</v>
      </c>
      <c r="AJ19" s="139"/>
    </row>
    <row r="20" spans="1:40" x14ac:dyDescent="0.2">
      <c r="D20" s="17" t="s">
        <v>23</v>
      </c>
      <c r="E20" s="17">
        <v>0</v>
      </c>
      <c r="G20" t="str">
        <f>"Jan-"&amp;$B$2</f>
        <v>Jan-2020</v>
      </c>
      <c r="H20">
        <v>0</v>
      </c>
      <c r="J20" s="5" t="s">
        <v>102</v>
      </c>
      <c r="K20" s="18">
        <v>0</v>
      </c>
      <c r="L20" s="135"/>
      <c r="N20" s="6" t="s">
        <v>118</v>
      </c>
      <c r="O20" s="19">
        <v>0</v>
      </c>
      <c r="P20" s="136"/>
      <c r="R20" s="7" t="s">
        <v>135</v>
      </c>
      <c r="S20" s="20">
        <v>0</v>
      </c>
      <c r="T20" s="134"/>
      <c r="V20" s="8" t="s">
        <v>154</v>
      </c>
      <c r="W20" s="21">
        <v>0</v>
      </c>
      <c r="X20" s="133"/>
      <c r="Z20" s="129" t="s">
        <v>166</v>
      </c>
      <c r="AA20" s="130">
        <v>0</v>
      </c>
      <c r="AB20" s="137"/>
      <c r="AD20" s="127" t="s">
        <v>188</v>
      </c>
      <c r="AE20" s="128">
        <v>0</v>
      </c>
      <c r="AF20" s="138"/>
      <c r="AH20" s="10" t="s">
        <v>201</v>
      </c>
      <c r="AI20" s="23">
        <v>0</v>
      </c>
      <c r="AJ20" s="139"/>
    </row>
    <row r="21" spans="1:40" x14ac:dyDescent="0.2">
      <c r="G21" t="str">
        <f>"Feb-"&amp;$B$2</f>
        <v>Feb-2020</v>
      </c>
      <c r="H21">
        <v>0</v>
      </c>
      <c r="J21" s="5" t="s">
        <v>103</v>
      </c>
      <c r="K21" s="18">
        <v>0</v>
      </c>
      <c r="L21" s="135"/>
      <c r="N21" s="6" t="s">
        <v>119</v>
      </c>
      <c r="O21" s="19">
        <v>0</v>
      </c>
      <c r="P21" s="136"/>
      <c r="R21" s="7" t="s">
        <v>136</v>
      </c>
      <c r="S21" s="20">
        <v>0</v>
      </c>
      <c r="T21" s="134"/>
      <c r="V21" s="8" t="s">
        <v>155</v>
      </c>
      <c r="W21" s="21">
        <v>0</v>
      </c>
      <c r="X21" s="133"/>
      <c r="Z21" s="129" t="s">
        <v>167</v>
      </c>
      <c r="AA21" s="130">
        <v>0</v>
      </c>
      <c r="AB21" s="137"/>
      <c r="AD21" s="127" t="s">
        <v>189</v>
      </c>
      <c r="AE21" s="128">
        <v>0</v>
      </c>
      <c r="AF21" s="138"/>
      <c r="AH21" s="10" t="s">
        <v>202</v>
      </c>
      <c r="AI21" s="23">
        <v>0</v>
      </c>
      <c r="AJ21" s="139"/>
    </row>
    <row r="22" spans="1:40" x14ac:dyDescent="0.2">
      <c r="D22" s="2" t="s">
        <v>209</v>
      </c>
      <c r="E22" s="2">
        <v>0</v>
      </c>
      <c r="G22" t="str">
        <f>"Mar-"&amp;$B$2</f>
        <v>Mar-2020</v>
      </c>
      <c r="H22">
        <v>0</v>
      </c>
      <c r="J22" s="5" t="s">
        <v>104</v>
      </c>
      <c r="K22" s="18">
        <v>0</v>
      </c>
      <c r="L22" s="135"/>
      <c r="N22" s="6" t="s">
        <v>120</v>
      </c>
      <c r="O22" s="19">
        <v>0</v>
      </c>
      <c r="P22" s="136"/>
      <c r="R22" s="7" t="s">
        <v>137</v>
      </c>
      <c r="S22" s="20">
        <v>0</v>
      </c>
      <c r="T22" s="134"/>
      <c r="V22" s="8" t="s">
        <v>156</v>
      </c>
      <c r="W22" s="21">
        <v>0</v>
      </c>
      <c r="X22" s="133"/>
      <c r="Z22" s="129" t="s">
        <v>168</v>
      </c>
      <c r="AA22" s="130">
        <v>0</v>
      </c>
      <c r="AB22" s="137"/>
      <c r="AD22" s="127" t="s">
        <v>190</v>
      </c>
      <c r="AE22" s="128">
        <v>0</v>
      </c>
      <c r="AF22" s="138"/>
      <c r="AH22" s="10" t="s">
        <v>203</v>
      </c>
      <c r="AI22" s="23">
        <v>0</v>
      </c>
      <c r="AJ22" s="139"/>
    </row>
    <row r="23" spans="1:40" x14ac:dyDescent="0.2">
      <c r="D23" s="17" t="s">
        <v>23</v>
      </c>
      <c r="E23" s="17">
        <v>0</v>
      </c>
      <c r="G23" t="str">
        <f>"Apr-"&amp;$B$2</f>
        <v>Apr-2020</v>
      </c>
      <c r="H23">
        <v>0</v>
      </c>
      <c r="J23" s="5" t="s">
        <v>105</v>
      </c>
      <c r="K23" s="18">
        <v>0</v>
      </c>
      <c r="L23" s="135"/>
      <c r="N23" s="6" t="s">
        <v>121</v>
      </c>
      <c r="O23" s="19">
        <v>0</v>
      </c>
      <c r="P23" s="136"/>
      <c r="R23" s="7" t="s">
        <v>138</v>
      </c>
      <c r="S23" s="20">
        <v>0</v>
      </c>
      <c r="T23" s="134"/>
      <c r="V23" s="8" t="s">
        <v>157</v>
      </c>
      <c r="W23" s="21">
        <v>0</v>
      </c>
      <c r="X23" s="133"/>
      <c r="Z23" s="129" t="s">
        <v>169</v>
      </c>
      <c r="AA23" s="130">
        <v>0</v>
      </c>
      <c r="AB23" s="137"/>
      <c r="AD23" s="127" t="s">
        <v>191</v>
      </c>
      <c r="AE23" s="128">
        <v>0</v>
      </c>
      <c r="AF23" s="138"/>
      <c r="AH23" s="10" t="s">
        <v>204</v>
      </c>
      <c r="AI23" s="23">
        <v>0</v>
      </c>
      <c r="AJ23" s="139"/>
    </row>
    <row r="24" spans="1:40" x14ac:dyDescent="0.2">
      <c r="G24" t="str">
        <f>"May-"&amp;$B$2</f>
        <v>May-2020</v>
      </c>
      <c r="H24">
        <v>0</v>
      </c>
      <c r="J24" s="227" t="s">
        <v>251</v>
      </c>
      <c r="K24" s="227"/>
      <c r="L24" s="227"/>
      <c r="M24" s="227"/>
      <c r="N24" s="227"/>
      <c r="O24" s="227"/>
      <c r="P24" s="227"/>
      <c r="Q24" s="227"/>
      <c r="R24" s="227"/>
      <c r="S24" s="227"/>
      <c r="T24" s="227"/>
      <c r="U24" s="227"/>
      <c r="V24" s="227"/>
      <c r="W24" s="227"/>
      <c r="X24" s="227"/>
      <c r="Y24" s="227"/>
      <c r="Z24" s="227"/>
      <c r="AA24" s="227"/>
      <c r="AB24" s="227"/>
      <c r="AC24" s="227"/>
      <c r="AD24" s="227"/>
      <c r="AE24" s="227"/>
      <c r="AF24" s="227"/>
      <c r="AG24" s="227"/>
      <c r="AH24" s="227"/>
      <c r="AI24" s="227"/>
      <c r="AJ24" s="227"/>
      <c r="AK24" s="227"/>
      <c r="AL24" s="227"/>
      <c r="AM24" s="227"/>
      <c r="AN24" s="227"/>
    </row>
    <row r="25" spans="1:40" x14ac:dyDescent="0.2">
      <c r="D25" s="2" t="s">
        <v>210</v>
      </c>
      <c r="E25" s="2">
        <v>0</v>
      </c>
      <c r="G25" t="str">
        <f>"Jun-"&amp;$B$2</f>
        <v>Jun-2020</v>
      </c>
      <c r="H25">
        <v>0</v>
      </c>
      <c r="J25" s="229" t="s">
        <v>252</v>
      </c>
      <c r="K25" s="230"/>
      <c r="L25" s="1" t="s">
        <v>249</v>
      </c>
      <c r="N25" s="234" t="s">
        <v>257</v>
      </c>
      <c r="O25" s="234"/>
      <c r="P25" s="234"/>
    </row>
    <row r="26" spans="1:40" x14ac:dyDescent="0.2">
      <c r="D26" s="17" t="s">
        <v>23</v>
      </c>
      <c r="E26" s="17">
        <v>0</v>
      </c>
      <c r="G26" t="str">
        <f>"Jul-"&amp;$B$2</f>
        <v>Jul-2020</v>
      </c>
      <c r="H26">
        <v>0</v>
      </c>
      <c r="J26" s="232" t="s">
        <v>289</v>
      </c>
      <c r="K26" s="233"/>
      <c r="L26" s="132" t="s">
        <v>253</v>
      </c>
      <c r="N26" s="144"/>
      <c r="O26" s="235"/>
      <c r="P26" s="235"/>
    </row>
    <row r="27" spans="1:40" x14ac:dyDescent="0.2">
      <c r="G27" t="str">
        <f>"Aug-"&amp;$B$2</f>
        <v>Aug-2020</v>
      </c>
      <c r="H27">
        <v>0</v>
      </c>
      <c r="J27" s="232" t="s">
        <v>290</v>
      </c>
      <c r="K27" s="233"/>
      <c r="L27" s="132" t="s">
        <v>14</v>
      </c>
      <c r="N27" s="144"/>
      <c r="O27" s="235"/>
      <c r="P27" s="235"/>
    </row>
    <row r="28" spans="1:40" x14ac:dyDescent="0.2">
      <c r="D28" s="2" t="s">
        <v>211</v>
      </c>
      <c r="E28" s="2">
        <v>0</v>
      </c>
      <c r="G28" t="str">
        <f>"Sep-"&amp;$B$2</f>
        <v>Sep-2020</v>
      </c>
      <c r="H28">
        <v>0</v>
      </c>
      <c r="J28" s="232" t="s">
        <v>291</v>
      </c>
      <c r="K28" s="233"/>
      <c r="L28" s="132" t="s">
        <v>14</v>
      </c>
      <c r="N28" s="144"/>
      <c r="O28" s="235"/>
      <c r="P28" s="235"/>
      <c r="R28" s="29"/>
      <c r="S28" s="29"/>
      <c r="T28" s="29"/>
    </row>
    <row r="29" spans="1:40" ht="13.5" thickBot="1" x14ac:dyDescent="0.25">
      <c r="D29" s="17" t="s">
        <v>23</v>
      </c>
      <c r="E29" s="17">
        <v>0</v>
      </c>
      <c r="G29" t="str">
        <f>"Oct-"&amp;$B$2</f>
        <v>Oct-2020</v>
      </c>
      <c r="H29">
        <v>0</v>
      </c>
      <c r="J29" s="232" t="s">
        <v>292</v>
      </c>
      <c r="K29" s="233"/>
      <c r="L29" s="132" t="s">
        <v>293</v>
      </c>
      <c r="N29" s="144">
        <v>44165</v>
      </c>
      <c r="O29" s="235">
        <v>2240</v>
      </c>
      <c r="P29" s="235"/>
      <c r="R29" s="29"/>
    </row>
    <row r="30" spans="1:40" x14ac:dyDescent="0.2">
      <c r="G30" t="str">
        <f>"Nov-"&amp;$B$2</f>
        <v>Nov-2020</v>
      </c>
      <c r="H30">
        <v>0</v>
      </c>
      <c r="J30" s="232" t="s">
        <v>49</v>
      </c>
      <c r="K30" s="233"/>
      <c r="L30" s="132"/>
      <c r="N30" s="144"/>
      <c r="O30" s="235"/>
      <c r="P30" s="235"/>
      <c r="R30" s="220" t="s">
        <v>283</v>
      </c>
      <c r="S30" s="221"/>
      <c r="T30" s="222"/>
    </row>
    <row r="31" spans="1:40" ht="13.5" thickBot="1" x14ac:dyDescent="0.25">
      <c r="D31" s="2" t="s">
        <v>212</v>
      </c>
      <c r="E31" s="2">
        <v>0</v>
      </c>
      <c r="G31" t="str">
        <f>"Dec-"&amp;$B$2</f>
        <v>Dec-2020</v>
      </c>
      <c r="H31">
        <v>0</v>
      </c>
      <c r="J31" s="232" t="s">
        <v>50</v>
      </c>
      <c r="K31" s="233"/>
      <c r="L31" s="132"/>
      <c r="N31" s="144"/>
      <c r="O31" s="235"/>
      <c r="P31" s="235"/>
      <c r="R31" s="223"/>
      <c r="S31" s="224"/>
      <c r="T31" s="225"/>
    </row>
    <row r="32" spans="1:40" ht="13.5" thickBot="1" x14ac:dyDescent="0.25">
      <c r="D32" s="17" t="s">
        <v>23</v>
      </c>
      <c r="E32" s="17">
        <v>0</v>
      </c>
      <c r="G32" s="26" t="s">
        <v>74</v>
      </c>
      <c r="H32" s="27">
        <v>0</v>
      </c>
      <c r="J32" s="232" t="s">
        <v>85</v>
      </c>
      <c r="K32" s="233"/>
      <c r="L32" s="132"/>
      <c r="N32" s="144"/>
      <c r="O32" s="235"/>
      <c r="P32" s="235"/>
    </row>
    <row r="33" spans="7:16" x14ac:dyDescent="0.2">
      <c r="G33" s="231" t="s">
        <v>70</v>
      </c>
      <c r="H33" s="231"/>
      <c r="J33" s="232" t="s">
        <v>86</v>
      </c>
      <c r="K33" s="233"/>
      <c r="L33" s="132"/>
      <c r="N33" s="144"/>
      <c r="O33" s="235"/>
      <c r="P33" s="235"/>
    </row>
    <row r="34" spans="7:16" x14ac:dyDescent="0.2">
      <c r="G34" s="17" t="s">
        <v>35</v>
      </c>
      <c r="H34" s="17">
        <v>0</v>
      </c>
      <c r="J34" s="232" t="s">
        <v>87</v>
      </c>
      <c r="K34" s="233"/>
      <c r="L34" s="132"/>
      <c r="N34" s="144"/>
      <c r="O34" s="235"/>
      <c r="P34" s="235"/>
    </row>
    <row r="35" spans="7:16" x14ac:dyDescent="0.2">
      <c r="G35" s="231" t="s">
        <v>34</v>
      </c>
      <c r="H35" s="231"/>
      <c r="J35" s="232" t="s">
        <v>88</v>
      </c>
      <c r="K35" s="233"/>
      <c r="L35" s="132"/>
      <c r="N35" s="144"/>
      <c r="O35" s="235"/>
      <c r="P35" s="235"/>
    </row>
    <row r="36" spans="7:16" x14ac:dyDescent="0.2">
      <c r="G36" t="str">
        <f>"Jan-"&amp;$B$2</f>
        <v>Jan-2020</v>
      </c>
      <c r="H36">
        <v>0</v>
      </c>
    </row>
    <row r="37" spans="7:16" x14ac:dyDescent="0.2">
      <c r="G37" t="str">
        <f>"Feb-"&amp;$B$2</f>
        <v>Feb-2020</v>
      </c>
      <c r="H37">
        <v>0</v>
      </c>
    </row>
    <row r="38" spans="7:16" x14ac:dyDescent="0.2">
      <c r="G38" t="str">
        <f>"Mar-"&amp;$B$2</f>
        <v>Mar-2020</v>
      </c>
      <c r="H38">
        <v>0</v>
      </c>
    </row>
    <row r="39" spans="7:16" x14ac:dyDescent="0.2">
      <c r="G39" t="str">
        <f>"Apr-"&amp;$B$2</f>
        <v>Apr-2020</v>
      </c>
      <c r="H39">
        <v>0</v>
      </c>
    </row>
    <row r="40" spans="7:16" x14ac:dyDescent="0.2">
      <c r="G40" t="str">
        <f>"May-"&amp;$B$2</f>
        <v>May-2020</v>
      </c>
      <c r="H40">
        <v>0</v>
      </c>
    </row>
    <row r="41" spans="7:16" x14ac:dyDescent="0.2">
      <c r="G41" t="str">
        <f>"Jun-"&amp;$B$2</f>
        <v>Jun-2020</v>
      </c>
      <c r="H41">
        <v>0</v>
      </c>
    </row>
    <row r="42" spans="7:16" x14ac:dyDescent="0.2">
      <c r="G42" t="str">
        <f>"Jul-"&amp;$B$2</f>
        <v>Jul-2020</v>
      </c>
      <c r="H42">
        <v>0</v>
      </c>
    </row>
    <row r="43" spans="7:16" x14ac:dyDescent="0.2">
      <c r="G43" t="str">
        <f>"Aug-"&amp;$B$2</f>
        <v>Aug-2020</v>
      </c>
      <c r="H43">
        <v>0</v>
      </c>
    </row>
    <row r="44" spans="7:16" x14ac:dyDescent="0.2">
      <c r="G44" t="str">
        <f>"Sep-"&amp;$B$2</f>
        <v>Sep-2020</v>
      </c>
      <c r="H44">
        <v>0</v>
      </c>
    </row>
    <row r="45" spans="7:16" x14ac:dyDescent="0.2">
      <c r="G45" t="str">
        <f>"Oct-"&amp;$B$2</f>
        <v>Oct-2020</v>
      </c>
      <c r="H45">
        <v>0</v>
      </c>
    </row>
    <row r="46" spans="7:16" x14ac:dyDescent="0.2">
      <c r="G46" t="str">
        <f>"Nov-"&amp;$B$2</f>
        <v>Nov-2020</v>
      </c>
      <c r="H46">
        <v>0</v>
      </c>
    </row>
    <row r="47" spans="7:16" ht="13.5" thickBot="1" x14ac:dyDescent="0.25">
      <c r="G47" t="str">
        <f>"Dec-"&amp;$B$2</f>
        <v>Dec-2020</v>
      </c>
      <c r="H47">
        <v>0</v>
      </c>
    </row>
    <row r="48" spans="7:16" ht="13.5" thickBot="1" x14ac:dyDescent="0.25">
      <c r="G48" s="26" t="s">
        <v>74</v>
      </c>
      <c r="H48" s="27">
        <v>0</v>
      </c>
    </row>
    <row r="49" spans="7:8" x14ac:dyDescent="0.2">
      <c r="G49" s="231" t="s">
        <v>71</v>
      </c>
      <c r="H49" s="231"/>
    </row>
    <row r="50" spans="7:8" x14ac:dyDescent="0.2">
      <c r="G50" s="17" t="s">
        <v>35</v>
      </c>
      <c r="H50" s="17">
        <v>0</v>
      </c>
    </row>
    <row r="51" spans="7:8" x14ac:dyDescent="0.2">
      <c r="G51" s="231" t="s">
        <v>34</v>
      </c>
      <c r="H51" s="231"/>
    </row>
    <row r="52" spans="7:8" x14ac:dyDescent="0.2">
      <c r="G52" t="str">
        <f>"Jan-"&amp;$B$2</f>
        <v>Jan-2020</v>
      </c>
      <c r="H52">
        <v>0</v>
      </c>
    </row>
    <row r="53" spans="7:8" x14ac:dyDescent="0.2">
      <c r="G53" t="str">
        <f>"Feb-"&amp;$B$2</f>
        <v>Feb-2020</v>
      </c>
      <c r="H53">
        <v>0</v>
      </c>
    </row>
    <row r="54" spans="7:8" x14ac:dyDescent="0.2">
      <c r="G54" t="str">
        <f>"Mar-"&amp;$B$2</f>
        <v>Mar-2020</v>
      </c>
      <c r="H54">
        <v>0</v>
      </c>
    </row>
    <row r="55" spans="7:8" x14ac:dyDescent="0.2">
      <c r="G55" t="str">
        <f>"Apr-"&amp;$B$2</f>
        <v>Apr-2020</v>
      </c>
      <c r="H55">
        <v>0</v>
      </c>
    </row>
    <row r="56" spans="7:8" x14ac:dyDescent="0.2">
      <c r="G56" t="str">
        <f>"May-"&amp;$B$2</f>
        <v>May-2020</v>
      </c>
      <c r="H56">
        <v>0</v>
      </c>
    </row>
    <row r="57" spans="7:8" x14ac:dyDescent="0.2">
      <c r="G57" t="str">
        <f>"Jun-"&amp;$B$2</f>
        <v>Jun-2020</v>
      </c>
      <c r="H57">
        <v>0</v>
      </c>
    </row>
    <row r="58" spans="7:8" x14ac:dyDescent="0.2">
      <c r="G58" t="str">
        <f>"Jul-"&amp;$B$2</f>
        <v>Jul-2020</v>
      </c>
      <c r="H58">
        <v>0</v>
      </c>
    </row>
    <row r="59" spans="7:8" x14ac:dyDescent="0.2">
      <c r="G59" t="str">
        <f>"Aug-"&amp;$B$2</f>
        <v>Aug-2020</v>
      </c>
      <c r="H59">
        <v>0</v>
      </c>
    </row>
    <row r="60" spans="7:8" x14ac:dyDescent="0.2">
      <c r="G60" t="str">
        <f>"Sep-"&amp;$B$2</f>
        <v>Sep-2020</v>
      </c>
      <c r="H60">
        <v>0</v>
      </c>
    </row>
    <row r="61" spans="7:8" x14ac:dyDescent="0.2">
      <c r="G61" t="str">
        <f>"Oct-"&amp;$B$2</f>
        <v>Oct-2020</v>
      </c>
      <c r="H61">
        <v>0</v>
      </c>
    </row>
    <row r="62" spans="7:8" x14ac:dyDescent="0.2">
      <c r="G62" t="str">
        <f>"Nov-"&amp;$B$2</f>
        <v>Nov-2020</v>
      </c>
      <c r="H62">
        <v>0</v>
      </c>
    </row>
    <row r="63" spans="7:8" ht="13.5" thickBot="1" x14ac:dyDescent="0.25">
      <c r="G63" t="str">
        <f>"Dec-"&amp;$B$2</f>
        <v>Dec-2020</v>
      </c>
      <c r="H63">
        <v>0</v>
      </c>
    </row>
    <row r="64" spans="7:8" ht="13.5" thickBot="1" x14ac:dyDescent="0.25">
      <c r="G64" s="26" t="s">
        <v>74</v>
      </c>
      <c r="H64" s="27">
        <v>0</v>
      </c>
    </row>
    <row r="65" spans="7:8" x14ac:dyDescent="0.2">
      <c r="G65" s="231" t="s">
        <v>72</v>
      </c>
      <c r="H65" s="231"/>
    </row>
    <row r="66" spans="7:8" x14ac:dyDescent="0.2">
      <c r="G66" s="17" t="s">
        <v>35</v>
      </c>
      <c r="H66" s="17">
        <v>0</v>
      </c>
    </row>
    <row r="67" spans="7:8" x14ac:dyDescent="0.2">
      <c r="G67" s="231" t="s">
        <v>34</v>
      </c>
      <c r="H67" s="231"/>
    </row>
    <row r="68" spans="7:8" x14ac:dyDescent="0.2">
      <c r="G68" t="str">
        <f>"Jan-"&amp;$B$2</f>
        <v>Jan-2020</v>
      </c>
      <c r="H68">
        <v>0</v>
      </c>
    </row>
    <row r="69" spans="7:8" x14ac:dyDescent="0.2">
      <c r="G69" t="str">
        <f>"Feb-"&amp;$B$2</f>
        <v>Feb-2020</v>
      </c>
      <c r="H69">
        <v>0</v>
      </c>
    </row>
    <row r="70" spans="7:8" x14ac:dyDescent="0.2">
      <c r="G70" t="str">
        <f>"Mar-"&amp;$B$2</f>
        <v>Mar-2020</v>
      </c>
      <c r="H70">
        <v>0</v>
      </c>
    </row>
    <row r="71" spans="7:8" x14ac:dyDescent="0.2">
      <c r="G71" t="str">
        <f>"Apr-"&amp;$B$2</f>
        <v>Apr-2020</v>
      </c>
      <c r="H71">
        <v>0</v>
      </c>
    </row>
    <row r="72" spans="7:8" x14ac:dyDescent="0.2">
      <c r="G72" t="str">
        <f>"May-"&amp;$B$2</f>
        <v>May-2020</v>
      </c>
      <c r="H72">
        <v>0</v>
      </c>
    </row>
    <row r="73" spans="7:8" x14ac:dyDescent="0.2">
      <c r="G73" t="str">
        <f>"Jun-"&amp;$B$2</f>
        <v>Jun-2020</v>
      </c>
      <c r="H73">
        <v>0</v>
      </c>
    </row>
    <row r="74" spans="7:8" x14ac:dyDescent="0.2">
      <c r="G74" t="str">
        <f>"Jul-"&amp;$B$2</f>
        <v>Jul-2020</v>
      </c>
      <c r="H74">
        <v>0</v>
      </c>
    </row>
    <row r="75" spans="7:8" x14ac:dyDescent="0.2">
      <c r="G75" t="str">
        <f>"Aug-"&amp;$B$2</f>
        <v>Aug-2020</v>
      </c>
      <c r="H75">
        <v>0</v>
      </c>
    </row>
    <row r="76" spans="7:8" x14ac:dyDescent="0.2">
      <c r="G76" t="str">
        <f>"Sep-"&amp;$B$2</f>
        <v>Sep-2020</v>
      </c>
      <c r="H76">
        <v>0</v>
      </c>
    </row>
    <row r="77" spans="7:8" x14ac:dyDescent="0.2">
      <c r="G77" t="str">
        <f>"Oct-"&amp;$B$2</f>
        <v>Oct-2020</v>
      </c>
      <c r="H77">
        <v>0</v>
      </c>
    </row>
    <row r="78" spans="7:8" x14ac:dyDescent="0.2">
      <c r="G78" t="str">
        <f>"Nov-"&amp;$B$2</f>
        <v>Nov-2020</v>
      </c>
      <c r="H78">
        <v>0</v>
      </c>
    </row>
    <row r="79" spans="7:8" ht="13.5" thickBot="1" x14ac:dyDescent="0.25">
      <c r="G79" t="str">
        <f>"Dec-"&amp;$B$2</f>
        <v>Dec-2020</v>
      </c>
      <c r="H79">
        <v>0</v>
      </c>
    </row>
    <row r="80" spans="7:8" ht="13.5" thickBot="1" x14ac:dyDescent="0.25">
      <c r="G80" s="26" t="s">
        <v>74</v>
      </c>
      <c r="H80" s="27">
        <v>0</v>
      </c>
    </row>
    <row r="81" spans="7:8" x14ac:dyDescent="0.2">
      <c r="G81" s="231" t="s">
        <v>73</v>
      </c>
      <c r="H81" s="231"/>
    </row>
    <row r="82" spans="7:8" x14ac:dyDescent="0.2">
      <c r="G82" s="17" t="s">
        <v>35</v>
      </c>
      <c r="H82" s="17">
        <v>0</v>
      </c>
    </row>
    <row r="83" spans="7:8" x14ac:dyDescent="0.2">
      <c r="G83" s="231" t="s">
        <v>34</v>
      </c>
      <c r="H83" s="231"/>
    </row>
    <row r="84" spans="7:8" x14ac:dyDescent="0.2">
      <c r="G84" t="str">
        <f>"Jan-"&amp;$B$2</f>
        <v>Jan-2020</v>
      </c>
      <c r="H84">
        <v>0</v>
      </c>
    </row>
    <row r="85" spans="7:8" x14ac:dyDescent="0.2">
      <c r="G85" t="str">
        <f>"Feb-"&amp;$B$2</f>
        <v>Feb-2020</v>
      </c>
      <c r="H85">
        <v>0</v>
      </c>
    </row>
    <row r="86" spans="7:8" x14ac:dyDescent="0.2">
      <c r="G86" t="str">
        <f>"Mar-"&amp;$B$2</f>
        <v>Mar-2020</v>
      </c>
      <c r="H86">
        <v>0</v>
      </c>
    </row>
    <row r="87" spans="7:8" x14ac:dyDescent="0.2">
      <c r="G87" t="str">
        <f>"Apr-"&amp;$B$2</f>
        <v>Apr-2020</v>
      </c>
      <c r="H87">
        <v>0</v>
      </c>
    </row>
    <row r="88" spans="7:8" x14ac:dyDescent="0.2">
      <c r="G88" t="str">
        <f>"May-"&amp;$B$2</f>
        <v>May-2020</v>
      </c>
      <c r="H88">
        <v>0</v>
      </c>
    </row>
    <row r="89" spans="7:8" x14ac:dyDescent="0.2">
      <c r="G89" t="str">
        <f>"Jun-"&amp;$B$2</f>
        <v>Jun-2020</v>
      </c>
      <c r="H89">
        <v>0</v>
      </c>
    </row>
    <row r="90" spans="7:8" x14ac:dyDescent="0.2">
      <c r="G90" t="str">
        <f>"Jul-"&amp;$B$2</f>
        <v>Jul-2020</v>
      </c>
      <c r="H90">
        <v>0</v>
      </c>
    </row>
    <row r="91" spans="7:8" x14ac:dyDescent="0.2">
      <c r="G91" t="str">
        <f>"Aug-"&amp;$B$2</f>
        <v>Aug-2020</v>
      </c>
      <c r="H91">
        <v>0</v>
      </c>
    </row>
    <row r="92" spans="7:8" x14ac:dyDescent="0.2">
      <c r="G92" t="str">
        <f>"Sep-"&amp;$B$2</f>
        <v>Sep-2020</v>
      </c>
      <c r="H92">
        <v>0</v>
      </c>
    </row>
    <row r="93" spans="7:8" x14ac:dyDescent="0.2">
      <c r="G93" t="str">
        <f>"Oct-"&amp;$B$2</f>
        <v>Oct-2020</v>
      </c>
      <c r="H93">
        <v>0</v>
      </c>
    </row>
    <row r="94" spans="7:8" x14ac:dyDescent="0.2">
      <c r="G94" t="str">
        <f>"Nov-"&amp;$B$2</f>
        <v>Nov-2020</v>
      </c>
      <c r="H94">
        <v>0</v>
      </c>
    </row>
    <row r="95" spans="7:8" ht="13.5" thickBot="1" x14ac:dyDescent="0.25">
      <c r="G95" t="str">
        <f>"Dec-"&amp;$B$2</f>
        <v>Dec-2020</v>
      </c>
      <c r="H95">
        <v>0</v>
      </c>
    </row>
    <row r="96" spans="7:8" ht="13.5" thickBot="1" x14ac:dyDescent="0.25">
      <c r="G96" s="26" t="s">
        <v>74</v>
      </c>
      <c r="H96" s="27">
        <v>0</v>
      </c>
    </row>
    <row r="106" spans="8:8" x14ac:dyDescent="0.2">
      <c r="H106" s="30"/>
    </row>
  </sheetData>
  <customSheetViews>
    <customSheetView guid="{3000A5D3-4225-4BEC-8C51-5821C1637985}">
      <selection activeCell="B4" sqref="B4"/>
      <pageMargins left="0.7" right="0.7" top="0.75" bottom="0.75" header="0.3" footer="0.3"/>
      <pageSetup orientation="portrait" verticalDpi="0" r:id="rId1"/>
    </customSheetView>
    <customSheetView guid="{32C42143-63A9-4198-AA2B-A7F987080ABD}">
      <selection activeCell="B4" sqref="B4"/>
      <pageMargins left="0.7" right="0.7" top="0.75" bottom="0.75" header="0.3" footer="0.3"/>
      <pageSetup orientation="portrait" verticalDpi="0" r:id="rId2"/>
    </customSheetView>
    <customSheetView guid="{7CE6BF17-265E-4957-8504-7250D1E621AC}">
      <selection activeCell="B4" sqref="B4"/>
      <pageMargins left="0.7" right="0.7" top="0.75" bottom="0.75" header="0.3" footer="0.3"/>
      <pageSetup orientation="portrait" verticalDpi="0" r:id="rId3"/>
    </customSheetView>
    <customSheetView guid="{465E278D-55C1-4FEC-A60E-3F6CF89A80ED}">
      <selection activeCell="B4" sqref="B4"/>
      <pageMargins left="0.7" right="0.7" top="0.75" bottom="0.75" header="0.3" footer="0.3"/>
      <pageSetup orientation="portrait" verticalDpi="0" r:id="rId4"/>
    </customSheetView>
  </customSheetViews>
  <mergeCells count="51">
    <mergeCell ref="O27:P27"/>
    <mergeCell ref="O28:P28"/>
    <mergeCell ref="O29:P29"/>
    <mergeCell ref="O30:P30"/>
    <mergeCell ref="O31:P31"/>
    <mergeCell ref="G83:H83"/>
    <mergeCell ref="J26:K26"/>
    <mergeCell ref="J27:K27"/>
    <mergeCell ref="J28:K28"/>
    <mergeCell ref="J29:K29"/>
    <mergeCell ref="J30:K30"/>
    <mergeCell ref="J31:K31"/>
    <mergeCell ref="J32:K32"/>
    <mergeCell ref="J33:K33"/>
    <mergeCell ref="J34:K34"/>
    <mergeCell ref="J35:K35"/>
    <mergeCell ref="G49:H49"/>
    <mergeCell ref="G51:H51"/>
    <mergeCell ref="G65:H65"/>
    <mergeCell ref="Z2:AA2"/>
    <mergeCell ref="D2:E2"/>
    <mergeCell ref="G67:H67"/>
    <mergeCell ref="G81:H81"/>
    <mergeCell ref="D15:E15"/>
    <mergeCell ref="G17:H17"/>
    <mergeCell ref="G19:H19"/>
    <mergeCell ref="G33:H33"/>
    <mergeCell ref="G35:H35"/>
    <mergeCell ref="J25:K25"/>
    <mergeCell ref="N25:P25"/>
    <mergeCell ref="O26:P26"/>
    <mergeCell ref="O32:P32"/>
    <mergeCell ref="O33:P33"/>
    <mergeCell ref="O34:P34"/>
    <mergeCell ref="O35:P35"/>
    <mergeCell ref="R30:T31"/>
    <mergeCell ref="J1:AN1"/>
    <mergeCell ref="J24:AN24"/>
    <mergeCell ref="J13:AN13"/>
    <mergeCell ref="A1:B1"/>
    <mergeCell ref="A4:B17"/>
    <mergeCell ref="AL2:AM2"/>
    <mergeCell ref="AD2:AE2"/>
    <mergeCell ref="AH2:AI2"/>
    <mergeCell ref="J2:K2"/>
    <mergeCell ref="N2:O2"/>
    <mergeCell ref="R2:S2"/>
    <mergeCell ref="V2:W2"/>
    <mergeCell ref="G3:H3"/>
    <mergeCell ref="G1:H1"/>
    <mergeCell ref="D1:E1"/>
  </mergeCells>
  <phoneticPr fontId="15" type="noConversion"/>
  <pageMargins left="0.7" right="0.7" top="0.75" bottom="0.75" header="0.3" footer="0.3"/>
  <pageSetup orientation="portrait" verticalDpi="0" r:id="rId5"/>
  <drawing r:id="rId6"/>
  <legacyDrawing r:id="rId7"/>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00B050"/>
  </sheetPr>
  <dimension ref="A1:AM197"/>
  <sheetViews>
    <sheetView zoomScale="80" zoomScaleNormal="80" workbookViewId="0">
      <selection activeCell="B45" sqref="B45"/>
    </sheetView>
  </sheetViews>
  <sheetFormatPr defaultColWidth="11.42578125" defaultRowHeight="12.75" x14ac:dyDescent="0.2"/>
  <cols>
    <col min="1" max="1" width="14.42578125" style="95" bestFit="1" customWidth="1"/>
    <col min="2" max="2" width="12.28515625" style="47" bestFit="1" customWidth="1"/>
    <col min="3" max="3" width="4.85546875" style="70" bestFit="1" customWidth="1"/>
    <col min="4" max="4" width="2.42578125" style="70" customWidth="1"/>
    <col min="5" max="5" width="1.5703125" style="95" customWidth="1"/>
    <col min="6" max="6" width="20.5703125" style="47" customWidth="1"/>
    <col min="7" max="8" width="11.28515625" style="47" bestFit="1" customWidth="1"/>
    <col min="9" max="9" width="13" style="47" bestFit="1" customWidth="1"/>
    <col min="10" max="18" width="12.28515625" style="47" bestFit="1" customWidth="1"/>
    <col min="19" max="19" width="2" style="47" customWidth="1"/>
    <col min="20" max="20" width="14.28515625" style="47" bestFit="1" customWidth="1"/>
    <col min="21" max="21" width="20" style="47" customWidth="1"/>
    <col min="22" max="22" width="6.5703125" style="47" customWidth="1"/>
    <col min="23" max="23" width="2.42578125" style="70" customWidth="1"/>
    <col min="24" max="24" width="1.42578125" style="47" customWidth="1"/>
    <col min="25" max="25" width="3.140625" style="47" customWidth="1"/>
    <col min="26" max="26" width="27.7109375" style="47" bestFit="1" customWidth="1"/>
    <col min="27" max="28" width="13.42578125" style="47" bestFit="1" customWidth="1"/>
    <col min="29" max="29" width="12.28515625" style="47" bestFit="1" customWidth="1"/>
    <col min="30" max="40" width="11.42578125" style="47" customWidth="1"/>
    <col min="41" max="16384" width="11.42578125" style="47"/>
  </cols>
  <sheetData>
    <row r="1" spans="1:32" x14ac:dyDescent="0.2">
      <c r="A1" s="44">
        <f>CASH</f>
        <v>10741</v>
      </c>
      <c r="B1" s="43" t="s">
        <v>221</v>
      </c>
      <c r="C1" s="45"/>
      <c r="D1" s="45"/>
      <c r="E1" s="43"/>
      <c r="G1" s="46" t="str">
        <f>"Jan-"&amp;Variables!B2</f>
        <v>Jan-2020</v>
      </c>
      <c r="H1" s="46" t="str">
        <f>"Feb-"&amp;Variables!B2</f>
        <v>Feb-2020</v>
      </c>
      <c r="I1" s="46" t="str">
        <f>"Mar-"&amp;Variables!B2</f>
        <v>Mar-2020</v>
      </c>
      <c r="J1" s="46" t="str">
        <f>"Apr-"&amp;Variables!B2</f>
        <v>Apr-2020</v>
      </c>
      <c r="K1" s="46" t="str">
        <f>"May-"&amp;Variables!B2</f>
        <v>May-2020</v>
      </c>
      <c r="L1" s="46" t="str">
        <f>"Jun-"&amp;Variables!B2</f>
        <v>Jun-2020</v>
      </c>
      <c r="M1" s="46" t="str">
        <f>"Jul-"&amp;Variables!B2</f>
        <v>Jul-2020</v>
      </c>
      <c r="N1" s="46" t="str">
        <f>"Aug-"&amp;Variables!B2</f>
        <v>Aug-2020</v>
      </c>
      <c r="O1" s="46" t="str">
        <f>"Sep-"&amp;Variables!B2</f>
        <v>Sep-2020</v>
      </c>
      <c r="P1" s="46" t="str">
        <f>"Oct-"&amp;Variables!B2</f>
        <v>Oct-2020</v>
      </c>
      <c r="Q1" s="46" t="str">
        <f>"Nov-"&amp;Variables!B2</f>
        <v>Nov-2020</v>
      </c>
      <c r="R1" s="46" t="str">
        <f>"Dec-"&amp;Variables!B2</f>
        <v>Dec-2020</v>
      </c>
      <c r="S1" s="43"/>
      <c r="T1" s="43" t="s">
        <v>0</v>
      </c>
      <c r="V1" s="43"/>
      <c r="W1" s="45"/>
      <c r="X1" s="43"/>
      <c r="Y1" s="43"/>
      <c r="Z1" s="43"/>
      <c r="AA1" s="43" t="s">
        <v>1</v>
      </c>
      <c r="AB1" s="43" t="s">
        <v>2</v>
      </c>
      <c r="AC1" s="43"/>
      <c r="AD1" s="43"/>
      <c r="AE1" s="43"/>
      <c r="AF1" s="43"/>
    </row>
    <row r="2" spans="1:32" x14ac:dyDescent="0.2">
      <c r="A2" s="31" t="str">
        <f>Variables!D3</f>
        <v>Savings</v>
      </c>
      <c r="B2" s="32">
        <f>Variables!E3-Variables!E4</f>
        <v>6900</v>
      </c>
      <c r="C2" s="45"/>
      <c r="D2" s="45"/>
      <c r="E2" s="68" t="s">
        <v>226</v>
      </c>
      <c r="F2" s="269" t="s">
        <v>227</v>
      </c>
      <c r="G2" s="269"/>
      <c r="H2" s="43"/>
      <c r="I2" s="43"/>
      <c r="J2" s="43"/>
      <c r="K2" s="43"/>
      <c r="L2" s="43"/>
      <c r="M2" s="43"/>
      <c r="N2" s="43"/>
      <c r="O2" s="43"/>
      <c r="P2" s="43"/>
      <c r="Q2" s="43"/>
      <c r="R2" s="43"/>
      <c r="S2" s="43"/>
      <c r="T2" s="43"/>
      <c r="U2" s="43"/>
      <c r="V2" s="43" t="s">
        <v>46</v>
      </c>
      <c r="W2" s="45"/>
      <c r="X2" s="43"/>
      <c r="Y2" s="43"/>
      <c r="Z2" s="43" t="s">
        <v>3</v>
      </c>
      <c r="AA2" s="48">
        <f>AB2</f>
        <v>37620.959999999999</v>
      </c>
      <c r="AB2" s="49">
        <f>ABS(TOTAL_Projected)*12</f>
        <v>37620.959999999999</v>
      </c>
      <c r="AC2" s="43"/>
      <c r="AD2" s="50"/>
      <c r="AE2" s="43"/>
      <c r="AF2" s="43"/>
    </row>
    <row r="3" spans="1:32" x14ac:dyDescent="0.2">
      <c r="A3" s="31" t="str">
        <f>Variables!D6</f>
        <v>Savings 2</v>
      </c>
      <c r="B3" s="32">
        <f>Variables!E6-Variables!E7</f>
        <v>0</v>
      </c>
      <c r="C3" s="45"/>
      <c r="D3" s="270" t="str">
        <f>Variables!$J$2</f>
        <v>Monthly Expenses</v>
      </c>
      <c r="E3" s="51" t="s">
        <v>4</v>
      </c>
      <c r="F3" s="34" t="str">
        <f>U3</f>
        <v>Life Insurance</v>
      </c>
      <c r="G3" s="52"/>
      <c r="H3" s="52"/>
      <c r="I3" s="52"/>
      <c r="J3" s="52"/>
      <c r="K3" s="52">
        <f t="shared" ref="K3:Q3" si="0">$T$3</f>
        <v>-75</v>
      </c>
      <c r="L3" s="52">
        <f t="shared" si="0"/>
        <v>-75</v>
      </c>
      <c r="M3" s="52">
        <f t="shared" si="0"/>
        <v>-75</v>
      </c>
      <c r="N3" s="52">
        <f t="shared" si="0"/>
        <v>-75</v>
      </c>
      <c r="O3" s="52">
        <f t="shared" si="0"/>
        <v>-75</v>
      </c>
      <c r="P3" s="52">
        <f t="shared" si="0"/>
        <v>-75</v>
      </c>
      <c r="Q3" s="52">
        <f t="shared" si="0"/>
        <v>-75</v>
      </c>
      <c r="R3" s="52">
        <f>$T$3</f>
        <v>-75</v>
      </c>
      <c r="S3" s="43"/>
      <c r="T3" s="53">
        <f>Variables!K3*-1</f>
        <v>-75</v>
      </c>
      <c r="U3" s="54" t="str">
        <f>Variables!J3</f>
        <v>Life Insurance</v>
      </c>
      <c r="V3" s="131" t="str">
        <f>Variables!L3</f>
        <v>20th</v>
      </c>
      <c r="W3" s="254" t="str">
        <f>Variables!$J$2</f>
        <v>Monthly Expenses</v>
      </c>
      <c r="X3" s="131"/>
      <c r="Y3" s="43"/>
      <c r="Z3" s="43" t="s">
        <v>75</v>
      </c>
      <c r="AA3" s="55">
        <f>((Variables!H2*Variables!H16)+(Variables!H18*Variables!H32)+(Variables!H34*Variables!H48)+(Variables!H50*Variables!H64)+(Variables!H66*Variables!H80)+(Variables!H82*Variables!H96))*(1-Variables!B18)</f>
        <v>49140</v>
      </c>
      <c r="AB3" s="56">
        <f>(Variables!H2*Variables!H16)+(Variables!H18*Variables!H32)+(Variables!H34*Variables!H48)+(Variables!H50*Variables!H64)+(Variables!H66*Variables!H80)+(Variables!H82*Variables!H96)</f>
        <v>54600</v>
      </c>
      <c r="AC3" s="43"/>
      <c r="AD3" s="43"/>
      <c r="AE3" s="43"/>
      <c r="AF3" s="43"/>
    </row>
    <row r="4" spans="1:32" x14ac:dyDescent="0.2">
      <c r="A4" s="31" t="str">
        <f>Variables!D9</f>
        <v>Savings 3</v>
      </c>
      <c r="B4" s="32">
        <f>Variables!E9-Variables!E10</f>
        <v>0</v>
      </c>
      <c r="C4" s="45"/>
      <c r="D4" s="271"/>
      <c r="E4" s="51" t="s">
        <v>4</v>
      </c>
      <c r="F4" s="34" t="str">
        <f t="shared" ref="F4:F12" si="1">U4</f>
        <v>Cell Phone</v>
      </c>
      <c r="G4" s="52"/>
      <c r="H4" s="52"/>
      <c r="I4" s="52"/>
      <c r="J4" s="52"/>
      <c r="K4" s="52">
        <f t="shared" ref="K4:Q4" si="2">$T$4</f>
        <v>-220</v>
      </c>
      <c r="L4" s="52">
        <f t="shared" si="2"/>
        <v>-220</v>
      </c>
      <c r="M4" s="52">
        <f t="shared" si="2"/>
        <v>-220</v>
      </c>
      <c r="N4" s="52">
        <f t="shared" si="2"/>
        <v>-220</v>
      </c>
      <c r="O4" s="52">
        <f t="shared" si="2"/>
        <v>-220</v>
      </c>
      <c r="P4" s="52">
        <f t="shared" si="2"/>
        <v>-220</v>
      </c>
      <c r="Q4" s="52">
        <f t="shared" si="2"/>
        <v>-220</v>
      </c>
      <c r="R4" s="52">
        <f>$T$4</f>
        <v>-220</v>
      </c>
      <c r="S4" s="43"/>
      <c r="T4" s="53">
        <f>Variables!K4*-1</f>
        <v>-220</v>
      </c>
      <c r="U4" s="54" t="str">
        <f>Variables!J4</f>
        <v>Cell Phone</v>
      </c>
      <c r="V4" s="131" t="str">
        <f>Variables!L4</f>
        <v>12th</v>
      </c>
      <c r="W4" s="255"/>
      <c r="X4" s="131"/>
      <c r="Y4" s="43"/>
      <c r="Z4" s="43" t="s">
        <v>213</v>
      </c>
      <c r="AA4" s="55">
        <f>AB4*(1-Variables!B18)</f>
        <v>1890</v>
      </c>
      <c r="AB4" s="57">
        <f>(AB3/52)*2</f>
        <v>2100</v>
      </c>
      <c r="AC4" s="50"/>
      <c r="AD4" s="58"/>
      <c r="AE4" s="43"/>
      <c r="AF4" s="43"/>
    </row>
    <row r="5" spans="1:32" x14ac:dyDescent="0.2">
      <c r="A5" s="31" t="str">
        <f>Variables!D12</f>
        <v>Savings 4</v>
      </c>
      <c r="B5" s="32">
        <f>Variables!E12-Variables!E13</f>
        <v>0</v>
      </c>
      <c r="C5" s="45"/>
      <c r="D5" s="271"/>
      <c r="E5" s="51" t="s">
        <v>4</v>
      </c>
      <c r="F5" s="34" t="str">
        <f t="shared" si="1"/>
        <v>Auto ME 3</v>
      </c>
      <c r="G5" s="52"/>
      <c r="H5" s="52"/>
      <c r="I5" s="52"/>
      <c r="J5" s="52"/>
      <c r="K5" s="52">
        <f t="shared" ref="K5:Q5" si="3">$T$5</f>
        <v>0</v>
      </c>
      <c r="L5" s="52">
        <f t="shared" si="3"/>
        <v>0</v>
      </c>
      <c r="M5" s="52">
        <f t="shared" si="3"/>
        <v>0</v>
      </c>
      <c r="N5" s="52">
        <f t="shared" si="3"/>
        <v>0</v>
      </c>
      <c r="O5" s="52">
        <f t="shared" si="3"/>
        <v>0</v>
      </c>
      <c r="P5" s="52">
        <f t="shared" si="3"/>
        <v>0</v>
      </c>
      <c r="Q5" s="52">
        <f t="shared" si="3"/>
        <v>0</v>
      </c>
      <c r="R5" s="52">
        <f>$T$5</f>
        <v>0</v>
      </c>
      <c r="S5" s="43"/>
      <c r="T5" s="53">
        <f>Variables!K5*-1</f>
        <v>0</v>
      </c>
      <c r="U5" s="54" t="str">
        <f>Variables!J5</f>
        <v>Auto ME 3</v>
      </c>
      <c r="V5" s="142">
        <f>Variables!L5</f>
        <v>0</v>
      </c>
      <c r="W5" s="255"/>
      <c r="X5" s="142"/>
      <c r="Y5" s="43"/>
      <c r="Z5" s="43" t="s">
        <v>8</v>
      </c>
      <c r="AA5" s="59">
        <f>AB4-AA4</f>
        <v>210</v>
      </c>
      <c r="AB5" s="60"/>
      <c r="AC5" s="61"/>
      <c r="AD5" s="50"/>
      <c r="AE5" s="43"/>
      <c r="AF5" s="43"/>
    </row>
    <row r="6" spans="1:32" x14ac:dyDescent="0.2">
      <c r="A6" s="31" t="str">
        <f>Variables!D16</f>
        <v>Autobill</v>
      </c>
      <c r="B6" s="32">
        <f>Variables!E16-Variables!E17</f>
        <v>2346</v>
      </c>
      <c r="C6" s="45"/>
      <c r="D6" s="271"/>
      <c r="E6" s="51" t="s">
        <v>4</v>
      </c>
      <c r="F6" s="34" t="str">
        <f t="shared" si="1"/>
        <v>Auto ME 4</v>
      </c>
      <c r="G6" s="52"/>
      <c r="H6" s="52"/>
      <c r="I6" s="52"/>
      <c r="J6" s="52"/>
      <c r="K6" s="52">
        <f t="shared" ref="K6:Q6" si="4">$T$6</f>
        <v>0</v>
      </c>
      <c r="L6" s="52">
        <f t="shared" si="4"/>
        <v>0</v>
      </c>
      <c r="M6" s="52">
        <f t="shared" si="4"/>
        <v>0</v>
      </c>
      <c r="N6" s="52">
        <f t="shared" si="4"/>
        <v>0</v>
      </c>
      <c r="O6" s="52">
        <f t="shared" si="4"/>
        <v>0</v>
      </c>
      <c r="P6" s="52">
        <f t="shared" si="4"/>
        <v>0</v>
      </c>
      <c r="Q6" s="52">
        <f t="shared" si="4"/>
        <v>0</v>
      </c>
      <c r="R6" s="52">
        <f>$T$6</f>
        <v>0</v>
      </c>
      <c r="S6" s="43"/>
      <c r="T6" s="53">
        <f>Variables!K6*-1</f>
        <v>0</v>
      </c>
      <c r="U6" s="54" t="str">
        <f>Variables!J6</f>
        <v>Auto ME 4</v>
      </c>
      <c r="V6" s="142">
        <f>Variables!L6</f>
        <v>0</v>
      </c>
      <c r="W6" s="255"/>
      <c r="X6" s="142"/>
      <c r="Y6" s="43"/>
      <c r="Z6" s="43" t="s">
        <v>225</v>
      </c>
      <c r="AA6" s="55">
        <f>AA4*2</f>
        <v>3780</v>
      </c>
      <c r="AB6" s="56">
        <f>AB4*2</f>
        <v>4200</v>
      </c>
      <c r="AC6" s="43"/>
      <c r="AD6" s="61"/>
      <c r="AE6" s="43"/>
      <c r="AF6" s="43"/>
    </row>
    <row r="7" spans="1:32" x14ac:dyDescent="0.2">
      <c r="A7" s="31" t="str">
        <f>Variables!D19</f>
        <v>Expenses</v>
      </c>
      <c r="B7" s="32">
        <f>Variables!E19-Variables!E20</f>
        <v>1495</v>
      </c>
      <c r="C7" s="45"/>
      <c r="D7" s="271"/>
      <c r="E7" s="51" t="s">
        <v>4</v>
      </c>
      <c r="F7" s="34" t="str">
        <f t="shared" si="1"/>
        <v>Auto ME 5</v>
      </c>
      <c r="G7" s="52"/>
      <c r="H7" s="52"/>
      <c r="I7" s="52"/>
      <c r="J7" s="52"/>
      <c r="K7" s="52">
        <f t="shared" ref="K7:Q7" si="5">$T$7</f>
        <v>0</v>
      </c>
      <c r="L7" s="52">
        <f t="shared" si="5"/>
        <v>0</v>
      </c>
      <c r="M7" s="52">
        <f t="shared" si="5"/>
        <v>0</v>
      </c>
      <c r="N7" s="52">
        <f t="shared" si="5"/>
        <v>0</v>
      </c>
      <c r="O7" s="52">
        <f t="shared" si="5"/>
        <v>0</v>
      </c>
      <c r="P7" s="52">
        <f t="shared" si="5"/>
        <v>0</v>
      </c>
      <c r="Q7" s="52">
        <f t="shared" si="5"/>
        <v>0</v>
      </c>
      <c r="R7" s="52">
        <f>$T$7</f>
        <v>0</v>
      </c>
      <c r="T7" s="53">
        <f>Variables!K7*-1</f>
        <v>0</v>
      </c>
      <c r="U7" s="54" t="str">
        <f>Variables!J7</f>
        <v>Auto ME 5</v>
      </c>
      <c r="V7" s="142">
        <f>Variables!L7</f>
        <v>0</v>
      </c>
      <c r="W7" s="255"/>
      <c r="X7" s="142"/>
      <c r="Y7" s="43"/>
      <c r="Z7" s="43" t="s">
        <v>9</v>
      </c>
      <c r="AA7" s="48">
        <f>(AA2-AA3)/12</f>
        <v>-959.92000000000007</v>
      </c>
      <c r="AB7" s="49">
        <f>(AB2-AB3)/12</f>
        <v>-1414.92</v>
      </c>
      <c r="AC7" s="43"/>
      <c r="AD7" s="43"/>
      <c r="AE7" s="43"/>
      <c r="AF7" s="43"/>
    </row>
    <row r="8" spans="1:32" x14ac:dyDescent="0.2">
      <c r="A8" s="31" t="str">
        <f>Variables!D22</f>
        <v>Checking 3</v>
      </c>
      <c r="B8" s="32">
        <f>Variables!E22-Variables!E23</f>
        <v>0</v>
      </c>
      <c r="C8" s="45"/>
      <c r="D8" s="271"/>
      <c r="E8" s="51" t="s">
        <v>4</v>
      </c>
      <c r="F8" s="34" t="str">
        <f t="shared" si="1"/>
        <v>Auto ME 6</v>
      </c>
      <c r="G8" s="52"/>
      <c r="H8" s="52"/>
      <c r="I8" s="52"/>
      <c r="J8" s="52"/>
      <c r="K8" s="52">
        <f t="shared" ref="K8:Q8" si="6">$T$8</f>
        <v>0</v>
      </c>
      <c r="L8" s="52">
        <f t="shared" si="6"/>
        <v>0</v>
      </c>
      <c r="M8" s="52">
        <f t="shared" si="6"/>
        <v>0</v>
      </c>
      <c r="N8" s="52">
        <f t="shared" si="6"/>
        <v>0</v>
      </c>
      <c r="O8" s="52">
        <f t="shared" si="6"/>
        <v>0</v>
      </c>
      <c r="P8" s="52">
        <f t="shared" si="6"/>
        <v>0</v>
      </c>
      <c r="Q8" s="52">
        <f t="shared" si="6"/>
        <v>0</v>
      </c>
      <c r="R8" s="52">
        <f>$T$8</f>
        <v>0</v>
      </c>
      <c r="T8" s="53">
        <f>Variables!K8*-1</f>
        <v>0</v>
      </c>
      <c r="U8" s="54" t="str">
        <f>Variables!J8</f>
        <v>Auto ME 6</v>
      </c>
      <c r="V8" s="142">
        <f>Variables!L8</f>
        <v>0</v>
      </c>
      <c r="W8" s="255"/>
      <c r="X8" s="142"/>
      <c r="Y8" s="43"/>
      <c r="Z8" s="43" t="s">
        <v>10</v>
      </c>
      <c r="AA8" s="62">
        <f>ABS(AA6/TOTAL_Projected)*100</f>
        <v>120.57108590530386</v>
      </c>
      <c r="AB8" s="63">
        <f>(AB4/AB11)*100</f>
        <v>145.13186266379168</v>
      </c>
      <c r="AC8" s="43"/>
      <c r="AD8" s="43"/>
      <c r="AE8" s="43"/>
      <c r="AF8" s="43"/>
    </row>
    <row r="9" spans="1:32" x14ac:dyDescent="0.2">
      <c r="A9" s="31" t="str">
        <f>Variables!D25</f>
        <v>Checking 4</v>
      </c>
      <c r="B9" s="32">
        <f>Variables!E25-Variables!E26</f>
        <v>0</v>
      </c>
      <c r="C9" s="45"/>
      <c r="D9" s="271"/>
      <c r="E9" s="51" t="s">
        <v>4</v>
      </c>
      <c r="F9" s="34" t="str">
        <f t="shared" si="1"/>
        <v>Auto ME 7</v>
      </c>
      <c r="G9" s="52"/>
      <c r="H9" s="52"/>
      <c r="I9" s="52"/>
      <c r="J9" s="52"/>
      <c r="K9" s="52">
        <f t="shared" ref="K9:Q9" si="7">$T$9</f>
        <v>0</v>
      </c>
      <c r="L9" s="52">
        <f t="shared" si="7"/>
        <v>0</v>
      </c>
      <c r="M9" s="52">
        <f t="shared" si="7"/>
        <v>0</v>
      </c>
      <c r="N9" s="52">
        <f t="shared" si="7"/>
        <v>0</v>
      </c>
      <c r="O9" s="52">
        <f t="shared" si="7"/>
        <v>0</v>
      </c>
      <c r="P9" s="52">
        <f t="shared" si="7"/>
        <v>0</v>
      </c>
      <c r="Q9" s="52">
        <f t="shared" si="7"/>
        <v>0</v>
      </c>
      <c r="R9" s="52">
        <f>$T$9</f>
        <v>0</v>
      </c>
      <c r="T9" s="53">
        <f>Variables!K9*-1</f>
        <v>0</v>
      </c>
      <c r="U9" s="54" t="str">
        <f>Variables!J9</f>
        <v>Auto ME 7</v>
      </c>
      <c r="V9" s="142">
        <f>Variables!L9</f>
        <v>0</v>
      </c>
      <c r="W9" s="255"/>
      <c r="X9" s="142"/>
      <c r="Y9" s="43"/>
      <c r="Z9" s="43" t="s">
        <v>11</v>
      </c>
      <c r="AA9" s="62">
        <f>100-AA8</f>
        <v>-20.57108590530386</v>
      </c>
      <c r="AB9" s="63">
        <f>100-AB8</f>
        <v>-45.131862663791679</v>
      </c>
      <c r="AC9" s="43"/>
      <c r="AD9" s="43"/>
      <c r="AE9" s="43"/>
      <c r="AF9" s="43"/>
    </row>
    <row r="10" spans="1:32" x14ac:dyDescent="0.2">
      <c r="A10" s="31" t="str">
        <f>Variables!D28</f>
        <v>Checking 5</v>
      </c>
      <c r="B10" s="32">
        <f>Variables!E28-Variables!E29</f>
        <v>0</v>
      </c>
      <c r="C10" s="45"/>
      <c r="D10" s="271"/>
      <c r="E10" s="51" t="s">
        <v>4</v>
      </c>
      <c r="F10" s="34" t="str">
        <f t="shared" si="1"/>
        <v>Auto ME 8</v>
      </c>
      <c r="G10" s="52"/>
      <c r="H10" s="52"/>
      <c r="I10" s="52"/>
      <c r="J10" s="52"/>
      <c r="K10" s="52">
        <f t="shared" ref="K10:Q10" si="8">$T$10</f>
        <v>0</v>
      </c>
      <c r="L10" s="52">
        <f t="shared" si="8"/>
        <v>0</v>
      </c>
      <c r="M10" s="52">
        <f t="shared" si="8"/>
        <v>0</v>
      </c>
      <c r="N10" s="52">
        <f t="shared" si="8"/>
        <v>0</v>
      </c>
      <c r="O10" s="52">
        <f t="shared" si="8"/>
        <v>0</v>
      </c>
      <c r="P10" s="52">
        <f t="shared" si="8"/>
        <v>0</v>
      </c>
      <c r="Q10" s="52">
        <f t="shared" si="8"/>
        <v>0</v>
      </c>
      <c r="R10" s="52">
        <f>$T$10</f>
        <v>0</v>
      </c>
      <c r="T10" s="53">
        <f>Variables!K10*-1</f>
        <v>0</v>
      </c>
      <c r="U10" s="54" t="str">
        <f>Variables!J10</f>
        <v>Auto ME 8</v>
      </c>
      <c r="V10" s="142">
        <f>Variables!L10</f>
        <v>0</v>
      </c>
      <c r="W10" s="255"/>
      <c r="X10" s="142"/>
      <c r="Y10" s="43"/>
      <c r="Z10" s="43"/>
      <c r="AA10" s="43"/>
      <c r="AB10" s="43"/>
      <c r="AC10" s="43"/>
      <c r="AD10" s="50"/>
      <c r="AE10" s="43"/>
      <c r="AF10" s="43"/>
    </row>
    <row r="11" spans="1:32" x14ac:dyDescent="0.2">
      <c r="A11" s="31" t="str">
        <f>Variables!D31</f>
        <v>Checking 6</v>
      </c>
      <c r="B11" s="32">
        <f>Variables!E31-Variables!E32</f>
        <v>0</v>
      </c>
      <c r="C11" s="45"/>
      <c r="D11" s="271"/>
      <c r="E11" s="51" t="s">
        <v>4</v>
      </c>
      <c r="F11" s="34" t="str">
        <f t="shared" si="1"/>
        <v>Auto ME 9</v>
      </c>
      <c r="G11" s="52"/>
      <c r="H11" s="52"/>
      <c r="I11" s="52"/>
      <c r="J11" s="52"/>
      <c r="K11" s="52">
        <f t="shared" ref="K11:Q11" si="9">$T$11</f>
        <v>0</v>
      </c>
      <c r="L11" s="52">
        <f t="shared" si="9"/>
        <v>0</v>
      </c>
      <c r="M11" s="52">
        <f t="shared" si="9"/>
        <v>0</v>
      </c>
      <c r="N11" s="52">
        <f t="shared" si="9"/>
        <v>0</v>
      </c>
      <c r="O11" s="52">
        <f t="shared" si="9"/>
        <v>0</v>
      </c>
      <c r="P11" s="52">
        <f t="shared" si="9"/>
        <v>0</v>
      </c>
      <c r="Q11" s="52">
        <f t="shared" si="9"/>
        <v>0</v>
      </c>
      <c r="R11" s="52">
        <f>$T$11</f>
        <v>0</v>
      </c>
      <c r="T11" s="53">
        <f>Variables!K11*-1</f>
        <v>0</v>
      </c>
      <c r="U11" s="54" t="str">
        <f>Variables!J11</f>
        <v>Auto ME 9</v>
      </c>
      <c r="V11" s="142">
        <f>Variables!L11</f>
        <v>0</v>
      </c>
      <c r="W11" s="255"/>
      <c r="X11" s="142"/>
      <c r="Y11" s="43"/>
      <c r="Z11" s="43" t="s">
        <v>218</v>
      </c>
      <c r="AA11" s="50">
        <f>AB11*1.1</f>
        <v>1591.6560000000002</v>
      </c>
      <c r="AB11" s="61">
        <f>(ABS(TOTAL_Projected*12))/26</f>
        <v>1446.96</v>
      </c>
      <c r="AC11" s="43"/>
      <c r="AD11" s="43"/>
      <c r="AE11" s="43"/>
      <c r="AF11" s="43"/>
    </row>
    <row r="12" spans="1:32" x14ac:dyDescent="0.2">
      <c r="A12" s="64" t="str">
        <f>G1</f>
        <v>Jan-2020</v>
      </c>
      <c r="B12" s="44">
        <f>G183</f>
        <v>0</v>
      </c>
      <c r="C12" s="45"/>
      <c r="D12" s="271"/>
      <c r="E12" s="51" t="s">
        <v>4</v>
      </c>
      <c r="F12" s="34" t="str">
        <f t="shared" si="1"/>
        <v>Auto ME 10</v>
      </c>
      <c r="G12" s="52"/>
      <c r="H12" s="52"/>
      <c r="I12" s="52"/>
      <c r="J12" s="52"/>
      <c r="K12" s="52">
        <f t="shared" ref="K12:Q12" si="10">$T$12</f>
        <v>0</v>
      </c>
      <c r="L12" s="52">
        <f t="shared" si="10"/>
        <v>0</v>
      </c>
      <c r="M12" s="52">
        <f t="shared" si="10"/>
        <v>0</v>
      </c>
      <c r="N12" s="52">
        <f t="shared" si="10"/>
        <v>0</v>
      </c>
      <c r="O12" s="52">
        <f t="shared" si="10"/>
        <v>0</v>
      </c>
      <c r="P12" s="52">
        <f t="shared" si="10"/>
        <v>0</v>
      </c>
      <c r="Q12" s="52">
        <f t="shared" si="10"/>
        <v>0</v>
      </c>
      <c r="R12" s="52">
        <f>$T$12</f>
        <v>0</v>
      </c>
      <c r="T12" s="53">
        <f>Variables!K12*-1</f>
        <v>0</v>
      </c>
      <c r="U12" s="54" t="str">
        <f>Variables!J12</f>
        <v>Auto ME 10</v>
      </c>
      <c r="V12" s="142">
        <f>Variables!L12</f>
        <v>0</v>
      </c>
      <c r="W12" s="255"/>
      <c r="X12" s="142"/>
      <c r="Y12" s="43"/>
      <c r="Z12" s="65" t="s">
        <v>219</v>
      </c>
      <c r="AA12" s="66">
        <f>AA11-AA4</f>
        <v>-298.34399999999982</v>
      </c>
      <c r="AB12" s="66">
        <f>AB11-AB4</f>
        <v>-653.04</v>
      </c>
      <c r="AC12" s="43"/>
      <c r="AD12" s="43"/>
      <c r="AE12" s="67"/>
      <c r="AF12" s="43"/>
    </row>
    <row r="13" spans="1:32" x14ac:dyDescent="0.2">
      <c r="A13" s="64" t="str">
        <f>H1</f>
        <v>Feb-2020</v>
      </c>
      <c r="B13" s="44">
        <f>H183</f>
        <v>0</v>
      </c>
      <c r="C13" s="45"/>
      <c r="D13" s="271"/>
      <c r="E13" s="68" t="s">
        <v>6</v>
      </c>
      <c r="F13" s="34" t="str">
        <f>U13</f>
        <v>Gasoline</v>
      </c>
      <c r="G13" s="52"/>
      <c r="H13" s="52"/>
      <c r="I13" s="52"/>
      <c r="J13" s="52"/>
      <c r="K13" s="52">
        <f t="shared" ref="K13:Q13" si="11">$T$13</f>
        <v>-150</v>
      </c>
      <c r="L13" s="52">
        <f t="shared" si="11"/>
        <v>-150</v>
      </c>
      <c r="M13" s="52">
        <f t="shared" si="11"/>
        <v>-150</v>
      </c>
      <c r="N13" s="52">
        <f t="shared" si="11"/>
        <v>-150</v>
      </c>
      <c r="O13" s="52">
        <f t="shared" si="11"/>
        <v>-150</v>
      </c>
      <c r="P13" s="52">
        <f t="shared" si="11"/>
        <v>-150</v>
      </c>
      <c r="Q13" s="52">
        <f t="shared" si="11"/>
        <v>-150</v>
      </c>
      <c r="R13" s="52">
        <f>$T$13</f>
        <v>-150</v>
      </c>
      <c r="S13" s="43"/>
      <c r="T13" s="53">
        <f>Variables!K14*-1</f>
        <v>-150</v>
      </c>
      <c r="U13" s="54" t="str">
        <f>Variables!J14</f>
        <v>Gasoline</v>
      </c>
      <c r="V13" s="141">
        <f>Variables!L14</f>
        <v>0</v>
      </c>
      <c r="W13" s="255"/>
      <c r="X13" s="141"/>
      <c r="Y13" s="43"/>
      <c r="Z13" s="46" t="str">
        <f>G1</f>
        <v>Jan-2020</v>
      </c>
      <c r="AA13" s="44">
        <f>((CASH)+B12)</f>
        <v>10741</v>
      </c>
      <c r="AB13" s="67"/>
      <c r="AC13" s="44"/>
      <c r="AD13" s="43"/>
      <c r="AE13" s="67"/>
      <c r="AF13" s="44"/>
    </row>
    <row r="14" spans="1:32" x14ac:dyDescent="0.2">
      <c r="A14" s="64" t="str">
        <f>I1</f>
        <v>Mar-2020</v>
      </c>
      <c r="B14" s="44">
        <f>I183</f>
        <v>0</v>
      </c>
      <c r="C14" s="45"/>
      <c r="D14" s="271"/>
      <c r="E14" s="68" t="s">
        <v>6</v>
      </c>
      <c r="F14" s="34" t="str">
        <f t="shared" ref="F14:F22" si="12">U14</f>
        <v>Manual ME 2</v>
      </c>
      <c r="G14" s="52"/>
      <c r="H14" s="52"/>
      <c r="I14" s="52"/>
      <c r="J14" s="52"/>
      <c r="K14" s="52">
        <f t="shared" ref="K14:Q14" si="13">$T$14</f>
        <v>0</v>
      </c>
      <c r="L14" s="52">
        <f t="shared" si="13"/>
        <v>0</v>
      </c>
      <c r="M14" s="52">
        <f t="shared" si="13"/>
        <v>0</v>
      </c>
      <c r="N14" s="52">
        <f t="shared" si="13"/>
        <v>0</v>
      </c>
      <c r="O14" s="52">
        <f t="shared" si="13"/>
        <v>0</v>
      </c>
      <c r="P14" s="52">
        <f t="shared" si="13"/>
        <v>0</v>
      </c>
      <c r="Q14" s="52">
        <f t="shared" si="13"/>
        <v>0</v>
      </c>
      <c r="R14" s="52">
        <f>$T$14</f>
        <v>0</v>
      </c>
      <c r="T14" s="53">
        <f>Variables!K15*-1</f>
        <v>0</v>
      </c>
      <c r="U14" s="54" t="str">
        <f>Variables!J15</f>
        <v>Manual ME 2</v>
      </c>
      <c r="V14" s="141">
        <f>Variables!L15</f>
        <v>0</v>
      </c>
      <c r="W14" s="255"/>
      <c r="X14" s="141"/>
      <c r="Y14" s="43"/>
      <c r="Z14" s="46" t="str">
        <f>H1</f>
        <v>Feb-2020</v>
      </c>
      <c r="AA14" s="44">
        <f>((CASH)+B12+B24+B13)</f>
        <v>10741</v>
      </c>
      <c r="AB14" s="67"/>
      <c r="AC14" s="44"/>
      <c r="AD14" s="43"/>
      <c r="AE14" s="67"/>
      <c r="AF14" s="44"/>
    </row>
    <row r="15" spans="1:32" x14ac:dyDescent="0.2">
      <c r="A15" s="64" t="str">
        <f>J1</f>
        <v>Apr-2020</v>
      </c>
      <c r="B15" s="44">
        <f>J183</f>
        <v>0</v>
      </c>
      <c r="C15" s="45"/>
      <c r="D15" s="271"/>
      <c r="E15" s="68" t="s">
        <v>6</v>
      </c>
      <c r="F15" s="34" t="str">
        <f t="shared" si="12"/>
        <v>Manual ME 3</v>
      </c>
      <c r="G15" s="52"/>
      <c r="H15" s="52"/>
      <c r="I15" s="52"/>
      <c r="J15" s="52"/>
      <c r="K15" s="52">
        <f t="shared" ref="K15:Q15" si="14">$T$15</f>
        <v>0</v>
      </c>
      <c r="L15" s="52">
        <f t="shared" si="14"/>
        <v>0</v>
      </c>
      <c r="M15" s="52">
        <f t="shared" si="14"/>
        <v>0</v>
      </c>
      <c r="N15" s="52">
        <f t="shared" si="14"/>
        <v>0</v>
      </c>
      <c r="O15" s="52">
        <f t="shared" si="14"/>
        <v>0</v>
      </c>
      <c r="P15" s="52">
        <f t="shared" si="14"/>
        <v>0</v>
      </c>
      <c r="Q15" s="52">
        <f t="shared" si="14"/>
        <v>0</v>
      </c>
      <c r="R15" s="52">
        <f>$T$15</f>
        <v>0</v>
      </c>
      <c r="T15" s="53">
        <f>Variables!K16*-1</f>
        <v>0</v>
      </c>
      <c r="U15" s="54" t="str">
        <f>Variables!J16</f>
        <v>Manual ME 3</v>
      </c>
      <c r="V15" s="141">
        <f>Variables!L16</f>
        <v>0</v>
      </c>
      <c r="W15" s="255"/>
      <c r="X15" s="141"/>
      <c r="Y15" s="43"/>
      <c r="Z15" s="46" t="str">
        <f>I1</f>
        <v>Mar-2020</v>
      </c>
      <c r="AA15" s="44">
        <f>((CASH)+B12+B24+B13+B25+B14)</f>
        <v>10741</v>
      </c>
      <c r="AB15" s="67"/>
      <c r="AC15" s="44"/>
      <c r="AD15" s="43"/>
      <c r="AE15" s="67"/>
      <c r="AF15" s="44"/>
    </row>
    <row r="16" spans="1:32" x14ac:dyDescent="0.2">
      <c r="A16" s="64" t="str">
        <f>K1</f>
        <v>May-2020</v>
      </c>
      <c r="B16" s="44">
        <f>K183</f>
        <v>-3733.99</v>
      </c>
      <c r="C16" s="45"/>
      <c r="D16" s="271"/>
      <c r="E16" s="68" t="s">
        <v>6</v>
      </c>
      <c r="F16" s="34" t="str">
        <f t="shared" si="12"/>
        <v>Manual ME 4</v>
      </c>
      <c r="G16" s="52"/>
      <c r="H16" s="52"/>
      <c r="I16" s="52"/>
      <c r="J16" s="52"/>
      <c r="K16" s="52">
        <f t="shared" ref="K16:Q16" si="15">$T$16</f>
        <v>0</v>
      </c>
      <c r="L16" s="52">
        <f t="shared" si="15"/>
        <v>0</v>
      </c>
      <c r="M16" s="52">
        <f t="shared" si="15"/>
        <v>0</v>
      </c>
      <c r="N16" s="52">
        <f t="shared" si="15"/>
        <v>0</v>
      </c>
      <c r="O16" s="52">
        <f t="shared" si="15"/>
        <v>0</v>
      </c>
      <c r="P16" s="52">
        <f t="shared" si="15"/>
        <v>0</v>
      </c>
      <c r="Q16" s="52">
        <f t="shared" si="15"/>
        <v>0</v>
      </c>
      <c r="R16" s="52">
        <f>$T$16</f>
        <v>0</v>
      </c>
      <c r="T16" s="53">
        <f>Variables!K17*-1</f>
        <v>0</v>
      </c>
      <c r="U16" s="54" t="str">
        <f>Variables!J17</f>
        <v>Manual ME 4</v>
      </c>
      <c r="V16" s="141">
        <f>Variables!L17</f>
        <v>0</v>
      </c>
      <c r="W16" s="255"/>
      <c r="X16" s="141"/>
      <c r="Y16" s="43"/>
      <c r="Z16" s="46" t="str">
        <f>J1</f>
        <v>Apr-2020</v>
      </c>
      <c r="AA16" s="44">
        <f>((CASH)+B12+B24+B13+B25+B14+B26+B15)</f>
        <v>10741</v>
      </c>
      <c r="AB16" s="67"/>
      <c r="AC16" s="44"/>
      <c r="AD16" s="43"/>
      <c r="AE16" s="67"/>
      <c r="AF16" s="44"/>
    </row>
    <row r="17" spans="1:32" x14ac:dyDescent="0.2">
      <c r="A17" s="64" t="str">
        <f>L1</f>
        <v>Jun-2020</v>
      </c>
      <c r="B17" s="44">
        <f>L183</f>
        <v>-3253.99</v>
      </c>
      <c r="D17" s="271"/>
      <c r="E17" s="68" t="s">
        <v>6</v>
      </c>
      <c r="F17" s="34" t="str">
        <f t="shared" si="12"/>
        <v>Manual ME 5</v>
      </c>
      <c r="G17" s="52"/>
      <c r="H17" s="52"/>
      <c r="I17" s="52"/>
      <c r="J17" s="52"/>
      <c r="K17" s="52">
        <f t="shared" ref="K17:Q17" si="16">$T$17</f>
        <v>0</v>
      </c>
      <c r="L17" s="52">
        <f t="shared" si="16"/>
        <v>0</v>
      </c>
      <c r="M17" s="52">
        <f t="shared" si="16"/>
        <v>0</v>
      </c>
      <c r="N17" s="52">
        <f t="shared" si="16"/>
        <v>0</v>
      </c>
      <c r="O17" s="52">
        <f t="shared" si="16"/>
        <v>0</v>
      </c>
      <c r="P17" s="52">
        <f t="shared" si="16"/>
        <v>0</v>
      </c>
      <c r="Q17" s="52">
        <f t="shared" si="16"/>
        <v>0</v>
      </c>
      <c r="R17" s="52">
        <f>$T$17</f>
        <v>0</v>
      </c>
      <c r="T17" s="53">
        <f>Variables!K18*-1</f>
        <v>0</v>
      </c>
      <c r="U17" s="54" t="str">
        <f>Variables!J18</f>
        <v>Manual ME 5</v>
      </c>
      <c r="V17" s="141">
        <f>Variables!L18</f>
        <v>0</v>
      </c>
      <c r="W17" s="255"/>
      <c r="X17" s="141"/>
      <c r="Y17" s="43"/>
      <c r="Z17" s="46" t="str">
        <f>K1</f>
        <v>May-2020</v>
      </c>
      <c r="AA17" s="44">
        <f>((CASH)+B12+B24+B13+B25+B14+B26+B15+B27+B16)</f>
        <v>7007.01</v>
      </c>
      <c r="AB17" s="67"/>
      <c r="AC17" s="44"/>
      <c r="AD17" s="43"/>
      <c r="AE17" s="67"/>
      <c r="AF17" s="44"/>
    </row>
    <row r="18" spans="1:32" x14ac:dyDescent="0.2">
      <c r="A18" s="64" t="str">
        <f>M1</f>
        <v>Jul-2020</v>
      </c>
      <c r="B18" s="69">
        <f>M183</f>
        <v>-3400.13</v>
      </c>
      <c r="D18" s="271"/>
      <c r="E18" s="68" t="s">
        <v>6</v>
      </c>
      <c r="F18" s="34" t="str">
        <f t="shared" si="12"/>
        <v>Manual ME 6</v>
      </c>
      <c r="G18" s="52"/>
      <c r="H18" s="52"/>
      <c r="I18" s="52"/>
      <c r="J18" s="52"/>
      <c r="K18" s="52">
        <f t="shared" ref="K18:Q18" si="17">$T$18</f>
        <v>0</v>
      </c>
      <c r="L18" s="52">
        <f t="shared" si="17"/>
        <v>0</v>
      </c>
      <c r="M18" s="52">
        <f t="shared" si="17"/>
        <v>0</v>
      </c>
      <c r="N18" s="52">
        <f t="shared" si="17"/>
        <v>0</v>
      </c>
      <c r="O18" s="52">
        <f t="shared" si="17"/>
        <v>0</v>
      </c>
      <c r="P18" s="52">
        <f t="shared" si="17"/>
        <v>0</v>
      </c>
      <c r="Q18" s="52">
        <f t="shared" si="17"/>
        <v>0</v>
      </c>
      <c r="R18" s="52">
        <f>$T$18</f>
        <v>0</v>
      </c>
      <c r="T18" s="53">
        <f>Variables!K19*-1</f>
        <v>0</v>
      </c>
      <c r="U18" s="54" t="str">
        <f>Variables!J19</f>
        <v>Manual ME 6</v>
      </c>
      <c r="V18" s="141">
        <f>Variables!L19</f>
        <v>0</v>
      </c>
      <c r="W18" s="255"/>
      <c r="X18" s="141"/>
      <c r="Y18" s="43"/>
      <c r="Z18" s="46" t="str">
        <f>L1</f>
        <v>Jun-2020</v>
      </c>
      <c r="AA18" s="44">
        <f>((CASH)+B12+B24+B13+B25+B14+B26+B15+B27+B16+B28+B17)</f>
        <v>7953.02</v>
      </c>
      <c r="AB18" s="67"/>
      <c r="AC18" s="44"/>
      <c r="AD18" s="50"/>
      <c r="AE18" s="67"/>
      <c r="AF18" s="44"/>
    </row>
    <row r="19" spans="1:32" x14ac:dyDescent="0.2">
      <c r="A19" s="64" t="str">
        <f>N1</f>
        <v>Aug-2020</v>
      </c>
      <c r="B19" s="69">
        <f>N183</f>
        <v>-3278.99</v>
      </c>
      <c r="D19" s="271"/>
      <c r="E19" s="68" t="s">
        <v>6</v>
      </c>
      <c r="F19" s="34" t="str">
        <f t="shared" si="12"/>
        <v>Manual ME 7</v>
      </c>
      <c r="G19" s="52"/>
      <c r="H19" s="52"/>
      <c r="I19" s="52"/>
      <c r="J19" s="52"/>
      <c r="K19" s="52">
        <f t="shared" ref="K19:Q19" si="18">$T$19</f>
        <v>0</v>
      </c>
      <c r="L19" s="52">
        <f t="shared" si="18"/>
        <v>0</v>
      </c>
      <c r="M19" s="52">
        <f t="shared" si="18"/>
        <v>0</v>
      </c>
      <c r="N19" s="52">
        <f t="shared" si="18"/>
        <v>0</v>
      </c>
      <c r="O19" s="52">
        <f t="shared" si="18"/>
        <v>0</v>
      </c>
      <c r="P19" s="52">
        <f t="shared" si="18"/>
        <v>0</v>
      </c>
      <c r="Q19" s="52">
        <f t="shared" si="18"/>
        <v>0</v>
      </c>
      <c r="R19" s="52">
        <f>$T$19</f>
        <v>0</v>
      </c>
      <c r="T19" s="53">
        <f>Variables!K20*-1</f>
        <v>0</v>
      </c>
      <c r="U19" s="54" t="str">
        <f>Variables!J20</f>
        <v>Manual ME 7</v>
      </c>
      <c r="V19" s="141">
        <f>Variables!L20</f>
        <v>0</v>
      </c>
      <c r="W19" s="255"/>
      <c r="X19" s="141"/>
      <c r="Y19" s="43"/>
      <c r="Z19" s="46" t="str">
        <f>M1</f>
        <v>Jul-2020</v>
      </c>
      <c r="AA19" s="44">
        <f>((CASH)+B12+B24+B13+B25+B14+B26+B15+B27+B16+B28+B17+B29+B18)</f>
        <v>8752.89</v>
      </c>
      <c r="AB19" s="67"/>
      <c r="AC19" s="44"/>
      <c r="AD19" s="43"/>
      <c r="AE19" s="67"/>
      <c r="AF19" s="44"/>
    </row>
    <row r="20" spans="1:32" x14ac:dyDescent="0.2">
      <c r="A20" s="64" t="str">
        <f>O1</f>
        <v>Sep-2020</v>
      </c>
      <c r="B20" s="69">
        <f>O183</f>
        <v>-3253.99</v>
      </c>
      <c r="D20" s="271"/>
      <c r="E20" s="68" t="s">
        <v>6</v>
      </c>
      <c r="F20" s="34" t="str">
        <f t="shared" si="12"/>
        <v>Manual ME 8</v>
      </c>
      <c r="G20" s="52"/>
      <c r="H20" s="52"/>
      <c r="I20" s="52"/>
      <c r="J20" s="52"/>
      <c r="K20" s="52">
        <f t="shared" ref="K20:Q20" si="19">$T$20</f>
        <v>0</v>
      </c>
      <c r="L20" s="52">
        <f t="shared" si="19"/>
        <v>0</v>
      </c>
      <c r="M20" s="52">
        <f t="shared" si="19"/>
        <v>0</v>
      </c>
      <c r="N20" s="52">
        <f t="shared" si="19"/>
        <v>0</v>
      </c>
      <c r="O20" s="52">
        <f t="shared" si="19"/>
        <v>0</v>
      </c>
      <c r="P20" s="52">
        <f t="shared" si="19"/>
        <v>0</v>
      </c>
      <c r="Q20" s="52">
        <f t="shared" si="19"/>
        <v>0</v>
      </c>
      <c r="R20" s="52">
        <f>$T$20</f>
        <v>0</v>
      </c>
      <c r="T20" s="53">
        <f>Variables!K21*-1</f>
        <v>0</v>
      </c>
      <c r="U20" s="54" t="str">
        <f>Variables!J21</f>
        <v>Manual ME 8</v>
      </c>
      <c r="V20" s="141">
        <f>Variables!L21</f>
        <v>0</v>
      </c>
      <c r="W20" s="255"/>
      <c r="X20" s="141"/>
      <c r="Y20" s="43"/>
      <c r="Z20" s="46" t="str">
        <f>N1</f>
        <v>Aug-2020</v>
      </c>
      <c r="AA20" s="44">
        <f>((CASH)+B12+B24+B13+B25+B14+B26+B15+B27+B16+B28+B17+B29+B18+B30+B19)</f>
        <v>11773.9</v>
      </c>
      <c r="AB20" s="67"/>
      <c r="AC20" s="44"/>
      <c r="AD20" s="43"/>
      <c r="AE20" s="67"/>
      <c r="AF20" s="44"/>
    </row>
    <row r="21" spans="1:32" x14ac:dyDescent="0.2">
      <c r="A21" s="64" t="str">
        <f>P1</f>
        <v>Oct-2020</v>
      </c>
      <c r="B21" s="69">
        <f>P183</f>
        <v>-3273.99</v>
      </c>
      <c r="D21" s="271"/>
      <c r="E21" s="68" t="s">
        <v>6</v>
      </c>
      <c r="F21" s="34" t="str">
        <f t="shared" si="12"/>
        <v>Manual ME 9</v>
      </c>
      <c r="G21" s="52"/>
      <c r="H21" s="52"/>
      <c r="I21" s="52"/>
      <c r="J21" s="52"/>
      <c r="K21" s="52">
        <f t="shared" ref="K21:Q21" si="20">$T$21</f>
        <v>0</v>
      </c>
      <c r="L21" s="52">
        <f t="shared" si="20"/>
        <v>0</v>
      </c>
      <c r="M21" s="52">
        <f t="shared" si="20"/>
        <v>0</v>
      </c>
      <c r="N21" s="52">
        <f t="shared" si="20"/>
        <v>0</v>
      </c>
      <c r="O21" s="52">
        <f t="shared" si="20"/>
        <v>0</v>
      </c>
      <c r="P21" s="52">
        <f t="shared" si="20"/>
        <v>0</v>
      </c>
      <c r="Q21" s="52">
        <f t="shared" si="20"/>
        <v>0</v>
      </c>
      <c r="R21" s="52">
        <f>$T$21</f>
        <v>0</v>
      </c>
      <c r="T21" s="53">
        <f>Variables!K22*-1</f>
        <v>0</v>
      </c>
      <c r="U21" s="54" t="str">
        <f>Variables!J22</f>
        <v>Manual ME 9</v>
      </c>
      <c r="V21" s="141">
        <f>Variables!L22</f>
        <v>0</v>
      </c>
      <c r="W21" s="255"/>
      <c r="X21" s="141"/>
      <c r="Y21" s="43"/>
      <c r="Z21" s="46" t="str">
        <f>O1</f>
        <v>Sep-2020</v>
      </c>
      <c r="AA21" s="44">
        <f>((CASH)+B12+B24+B13+B25+B14+B26+B15+B27+B16+B28+B17+B29+B18+B30+B19+B31+B20)</f>
        <v>12719.91</v>
      </c>
      <c r="AB21" s="67"/>
      <c r="AC21" s="44"/>
      <c r="AD21" s="43"/>
      <c r="AE21" s="67"/>
      <c r="AF21" s="44"/>
    </row>
    <row r="22" spans="1:32" x14ac:dyDescent="0.2">
      <c r="A22" s="64" t="str">
        <f>Q1</f>
        <v>Nov-2020</v>
      </c>
      <c r="B22" s="69">
        <f>Q183</f>
        <v>-3253.99</v>
      </c>
      <c r="D22" s="272"/>
      <c r="E22" s="68" t="s">
        <v>6</v>
      </c>
      <c r="F22" s="34" t="str">
        <f t="shared" si="12"/>
        <v>Manual ME 10</v>
      </c>
      <c r="G22" s="52"/>
      <c r="H22" s="52"/>
      <c r="I22" s="52"/>
      <c r="J22" s="52"/>
      <c r="K22" s="52">
        <f t="shared" ref="K22:Q22" si="21">$T$22</f>
        <v>0</v>
      </c>
      <c r="L22" s="52">
        <f t="shared" si="21"/>
        <v>0</v>
      </c>
      <c r="M22" s="52">
        <f t="shared" si="21"/>
        <v>0</v>
      </c>
      <c r="N22" s="52">
        <f t="shared" si="21"/>
        <v>0</v>
      </c>
      <c r="O22" s="52">
        <f t="shared" si="21"/>
        <v>0</v>
      </c>
      <c r="P22" s="52">
        <f t="shared" si="21"/>
        <v>0</v>
      </c>
      <c r="Q22" s="52">
        <f t="shared" si="21"/>
        <v>0</v>
      </c>
      <c r="R22" s="52">
        <f>$T$22</f>
        <v>0</v>
      </c>
      <c r="T22" s="53">
        <f>Variables!K23*-1</f>
        <v>0</v>
      </c>
      <c r="U22" s="54" t="str">
        <f>Variables!J23</f>
        <v>Manual ME 10</v>
      </c>
      <c r="V22" s="141">
        <f>Variables!L23</f>
        <v>0</v>
      </c>
      <c r="W22" s="256"/>
      <c r="X22" s="141"/>
      <c r="Y22" s="43"/>
      <c r="Z22" s="46" t="str">
        <f>P1</f>
        <v>Oct-2020</v>
      </c>
      <c r="AA22" s="44">
        <f>((CASH)+B12+B24+B13+B25+B14+B26+B15+B27+B16+B28+B17+B29+B18+B30+B19+B31+B20+B32+B21)</f>
        <v>13645.92</v>
      </c>
      <c r="AB22" s="67"/>
      <c r="AC22" s="44"/>
      <c r="AD22" s="43"/>
      <c r="AE22" s="67"/>
      <c r="AF22" s="44"/>
    </row>
    <row r="23" spans="1:32" x14ac:dyDescent="0.2">
      <c r="A23" s="64" t="str">
        <f>R1</f>
        <v>Dec-2020</v>
      </c>
      <c r="B23" s="69">
        <f>R183</f>
        <v>-2963.94</v>
      </c>
      <c r="D23" s="273" t="str">
        <f>Variables!$N$2</f>
        <v>Recurring Annual</v>
      </c>
      <c r="E23" s="51" t="s">
        <v>4</v>
      </c>
      <c r="F23" s="33" t="str">
        <f>U23</f>
        <v>Amazon Prime</v>
      </c>
      <c r="G23" s="33"/>
      <c r="H23" s="33"/>
      <c r="I23" s="72"/>
      <c r="J23" s="72"/>
      <c r="K23" s="33"/>
      <c r="L23" s="73"/>
      <c r="M23" s="73">
        <f>T23</f>
        <v>-126.14</v>
      </c>
      <c r="N23" s="72"/>
      <c r="O23" s="33"/>
      <c r="P23" s="33"/>
      <c r="Q23" s="33"/>
      <c r="R23" s="33"/>
      <c r="S23" s="43"/>
      <c r="T23" s="69">
        <f>Variables!O3*-1</f>
        <v>-126.14</v>
      </c>
      <c r="U23" s="43" t="str">
        <f>Variables!N3</f>
        <v>Amazon Prime</v>
      </c>
      <c r="V23" s="131" t="str">
        <f>Variables!P3</f>
        <v>12th</v>
      </c>
      <c r="W23" s="257" t="str">
        <f>Variables!$N$2</f>
        <v>Recurring Annual</v>
      </c>
      <c r="X23" s="131"/>
      <c r="Y23" s="43"/>
      <c r="Z23" s="46" t="str">
        <f>Q1</f>
        <v>Nov-2020</v>
      </c>
      <c r="AA23" s="44">
        <f>((CASH)+B12+B24+B13+B25+B14+B26+B15+B27+B16+B28+B17+B29+B18+B30+B19+B31+B20+B32+B21+B33+B22)</f>
        <v>14591.929999999998</v>
      </c>
      <c r="AB23" s="67"/>
      <c r="AC23" s="44"/>
      <c r="AD23" s="43"/>
      <c r="AE23" s="67"/>
      <c r="AF23" s="44"/>
    </row>
    <row r="24" spans="1:32" x14ac:dyDescent="0.2">
      <c r="A24" s="71" t="str">
        <f>G1</f>
        <v>Jan-2020</v>
      </c>
      <c r="B24" s="61">
        <f>IF(B37="Yes",((Variables!$H$2*Variables!H4)+(Variables!$H$18*Variables!H20)+(Variables!$H$34*Variables!H36)+(Variables!$H$50*Variables!H52)+(Variables!$H$66*Variables!H68)+(Variables!$H$82*Variables!H84))*(1-Variables!B18),((Variables!$H$2*Variables!H4)+(Variables!$H$18*Variables!H20)+(Variables!$H$34*Variables!H36)+(Variables!$H$50*Variables!H52)+(Variables!$H$66*Variables!H68)+(Variables!$H$82*Variables!H84)))</f>
        <v>0</v>
      </c>
      <c r="C24" s="45">
        <f>Variables!H4+Variables!H20+Variables!H36+Variables!H52+Variables!H68+Variables!H84</f>
        <v>0</v>
      </c>
      <c r="D24" s="274"/>
      <c r="E24" s="51" t="s">
        <v>4</v>
      </c>
      <c r="F24" s="33" t="str">
        <f t="shared" ref="F24:F32" si="22">U24</f>
        <v>Car and Driver Mag</v>
      </c>
      <c r="G24" s="33"/>
      <c r="H24" s="33"/>
      <c r="I24" s="72"/>
      <c r="J24" s="72"/>
      <c r="K24" s="33"/>
      <c r="L24" s="73"/>
      <c r="M24" s="73"/>
      <c r="N24" s="72"/>
      <c r="O24" s="33"/>
      <c r="P24" s="33"/>
      <c r="Q24" s="74"/>
      <c r="R24" s="73">
        <f>T24</f>
        <v>-29.95</v>
      </c>
      <c r="S24" s="43"/>
      <c r="T24" s="69">
        <f>Variables!O4*-1</f>
        <v>-29.95</v>
      </c>
      <c r="U24" s="43" t="str">
        <f>Variables!N4</f>
        <v>Car and Driver Mag</v>
      </c>
      <c r="V24" s="131" t="str">
        <f>Variables!P4</f>
        <v>7th</v>
      </c>
      <c r="W24" s="258"/>
      <c r="X24" s="131"/>
      <c r="Y24" s="43"/>
      <c r="Z24" s="46" t="str">
        <f>R1</f>
        <v>Dec-2020</v>
      </c>
      <c r="AA24" s="44">
        <f>((CASH)+B12+B24+B13+B25+B14+B26+B15+B27+B16+B28+B17+B29+B18+B30+B19+B31+B20+B32+B21+B33+B22+B34+B23)</f>
        <v>15827.99</v>
      </c>
      <c r="AB24" s="67"/>
      <c r="AC24" s="44"/>
      <c r="AD24" s="43"/>
      <c r="AE24" s="67"/>
      <c r="AF24" s="44"/>
    </row>
    <row r="25" spans="1:32" x14ac:dyDescent="0.2">
      <c r="A25" s="71" t="str">
        <f>H1</f>
        <v>Feb-2020</v>
      </c>
      <c r="B25" s="61">
        <f>IF($B$37="Yes",((Variables!$H$2*Variables!H5)+(Variables!$H$18*Variables!H21)+(Variables!$H$34*Variables!H37)+(Variables!$H$50*Variables!H53)+(Variables!$H$66*Variables!H69)+(Variables!$H$82*Variables!H85))*(1-Variables!B18),((Variables!$H$2*Variables!H5)+(Variables!$H$18*Variables!H21)+(Variables!$H$34*Variables!H37)+(Variables!$H$50*Variables!H53)+(Variables!$H$66*Variables!H69)+(Variables!$H$82*Variables!H85)))</f>
        <v>0</v>
      </c>
      <c r="C25" s="45">
        <f>Variables!H5+Variables!H21+Variables!H37+Variables!H53+Variables!H69+Variables!H85</f>
        <v>0</v>
      </c>
      <c r="D25" s="274"/>
      <c r="E25" s="51" t="s">
        <v>4</v>
      </c>
      <c r="F25" s="33" t="str">
        <f t="shared" si="22"/>
        <v>Auto RA 3</v>
      </c>
      <c r="G25" s="74"/>
      <c r="H25" s="73"/>
      <c r="I25" s="72"/>
      <c r="J25" s="72"/>
      <c r="K25" s="33"/>
      <c r="L25" s="73"/>
      <c r="M25" s="73"/>
      <c r="N25" s="72"/>
      <c r="O25" s="33"/>
      <c r="P25" s="73"/>
      <c r="Q25" s="33"/>
      <c r="R25" s="73"/>
      <c r="S25" s="43"/>
      <c r="T25" s="69">
        <f>Variables!O5*-1</f>
        <v>0</v>
      </c>
      <c r="U25" s="43" t="str">
        <f>Variables!N5</f>
        <v>Auto RA 3</v>
      </c>
      <c r="V25" s="131">
        <f>Variables!P5</f>
        <v>0</v>
      </c>
      <c r="W25" s="258"/>
      <c r="X25" s="131"/>
      <c r="Y25" s="43"/>
      <c r="Z25" s="43"/>
      <c r="AA25" s="44">
        <f>((CASH)+B12+B24+B13+B25+B14+B26+B15+B27+B16+B28+B17+B29+B18+B30+B19+B31+B20+B32+B21+B33+B22+B34+B23+B35)</f>
        <v>20027.989999999998</v>
      </c>
      <c r="AB25" s="44" t="s">
        <v>312</v>
      </c>
      <c r="AC25" s="44"/>
      <c r="AD25" s="43"/>
      <c r="AE25" s="67"/>
      <c r="AF25" s="44"/>
    </row>
    <row r="26" spans="1:32" x14ac:dyDescent="0.2">
      <c r="A26" s="71" t="str">
        <f>I1</f>
        <v>Mar-2020</v>
      </c>
      <c r="B26" s="61">
        <f>IF($B$37="Yes",((Variables!$H$2*Variables!H6)+(Variables!$H$18*Variables!H22)+(Variables!$H$34*Variables!H38)+(Variables!$H$50*Variables!H54)+(Variables!$H$66*Variables!H70)+(Variables!$H$82*Variables!H86))*(1-Variables!B18),((Variables!$H$2*Variables!H6)+(Variables!$H$18*Variables!H22)+(Variables!$H$34*Variables!H38)+(Variables!$H$50*Variables!H54)+(Variables!$H$66*Variables!H70)+(Variables!$H$82*Variables!H86)))</f>
        <v>0</v>
      </c>
      <c r="C26" s="45">
        <f>Variables!H6+Variables!H22+Variables!H38+Variables!H54+Variables!H70+Variables!H86</f>
        <v>0</v>
      </c>
      <c r="D26" s="274"/>
      <c r="E26" s="51" t="s">
        <v>4</v>
      </c>
      <c r="F26" s="33" t="str">
        <f t="shared" si="22"/>
        <v>Auto RA 4</v>
      </c>
      <c r="G26" s="73"/>
      <c r="H26" s="73"/>
      <c r="I26" s="72"/>
      <c r="J26" s="72"/>
      <c r="K26" s="33"/>
      <c r="L26" s="73"/>
      <c r="M26" s="73"/>
      <c r="N26" s="72"/>
      <c r="O26" s="33"/>
      <c r="P26" s="74"/>
      <c r="Q26" s="33"/>
      <c r="R26" s="33"/>
      <c r="S26" s="43"/>
      <c r="T26" s="69">
        <f>Variables!O6*-1</f>
        <v>0</v>
      </c>
      <c r="U26" s="43" t="str">
        <f>Variables!N6</f>
        <v>Auto RA 4</v>
      </c>
      <c r="V26" s="131">
        <f>Variables!P6</f>
        <v>0</v>
      </c>
      <c r="W26" s="258"/>
      <c r="X26" s="131"/>
      <c r="Y26" s="43"/>
      <c r="Z26" s="43"/>
      <c r="AA26" s="43"/>
      <c r="AB26" s="43"/>
      <c r="AC26" s="43"/>
      <c r="AD26" s="43"/>
      <c r="AE26" s="43"/>
      <c r="AF26" s="43"/>
    </row>
    <row r="27" spans="1:32" x14ac:dyDescent="0.2">
      <c r="A27" s="71" t="str">
        <f>J1</f>
        <v>Apr-2020</v>
      </c>
      <c r="B27" s="61">
        <f>IF($B$37="Yes",((Variables!$H$2*Variables!H7)+(Variables!$H$18*Variables!H23)+(Variables!$H$34*Variables!H39)+(Variables!$H$50*Variables!H55)+(Variables!$H$66*Variables!H71)+(Variables!$H$82*Variables!H87))*(1-Variables!B18),((Variables!$H$2*Variables!H7)+(Variables!$H$18*Variables!H23)+(Variables!$H$34*Variables!H39)+(Variables!$H$50*Variables!H55)+(Variables!$H$66*Variables!H71)+(Variables!$H$82*Variables!H87)))</f>
        <v>0</v>
      </c>
      <c r="C27" s="45">
        <f>Variables!H7+Variables!H23+Variables!H39+Variables!H55+Variables!H71+Variables!H87</f>
        <v>0</v>
      </c>
      <c r="D27" s="274"/>
      <c r="E27" s="51" t="s">
        <v>4</v>
      </c>
      <c r="F27" s="33" t="str">
        <f t="shared" si="22"/>
        <v>Auto RA 5</v>
      </c>
      <c r="G27" s="33"/>
      <c r="H27" s="33"/>
      <c r="I27" s="72"/>
      <c r="J27" s="72"/>
      <c r="K27" s="33"/>
      <c r="L27" s="74"/>
      <c r="M27" s="73"/>
      <c r="N27" s="72"/>
      <c r="O27" s="33"/>
      <c r="P27" s="33"/>
      <c r="Q27" s="33"/>
      <c r="R27" s="33"/>
      <c r="S27" s="43"/>
      <c r="T27" s="69">
        <f>Variables!O7*-1</f>
        <v>0</v>
      </c>
      <c r="U27" s="43" t="str">
        <f>Variables!N7</f>
        <v>Auto RA 5</v>
      </c>
      <c r="V27" s="131">
        <f>Variables!P7</f>
        <v>0</v>
      </c>
      <c r="W27" s="258"/>
      <c r="X27" s="131"/>
      <c r="Y27" s="43"/>
      <c r="Z27" s="43"/>
      <c r="AA27" s="43"/>
      <c r="AB27" s="43"/>
      <c r="AC27" s="114"/>
      <c r="AD27" s="43"/>
      <c r="AE27" s="43"/>
      <c r="AF27" s="43"/>
    </row>
    <row r="28" spans="1:32" x14ac:dyDescent="0.2">
      <c r="A28" s="71" t="str">
        <f>K1</f>
        <v>May-2020</v>
      </c>
      <c r="B28" s="61">
        <f>IF($B$37="Yes",((Variables!$H$2*Variables!H8)+(Variables!$H$18*Variables!H24)+(Variables!$H$34*Variables!H40)+(Variables!$H$50*Variables!H56)+(Variables!$H$66*Variables!H72)+(Variables!$H$82*Variables!H88))*(1-Variables!B18),((Variables!$H$2*Variables!H8)+(Variables!$H$18*Variables!H24)+(Variables!$H$34*Variables!H40)+(Variables!$H$50*Variables!H56)+(Variables!$H$66*Variables!H72)+(Variables!$H$82*Variables!H88)))</f>
        <v>4200</v>
      </c>
      <c r="C28" s="45">
        <f>Variables!H8+Variables!H24+Variables!H40+Variables!H56+Variables!H72+Variables!H88</f>
        <v>2</v>
      </c>
      <c r="D28" s="274"/>
      <c r="E28" s="51" t="s">
        <v>4</v>
      </c>
      <c r="F28" s="33" t="str">
        <f t="shared" si="22"/>
        <v>Auto RA 6</v>
      </c>
      <c r="G28" s="33"/>
      <c r="H28" s="33"/>
      <c r="I28" s="33"/>
      <c r="J28" s="33"/>
      <c r="K28" s="33"/>
      <c r="L28" s="33"/>
      <c r="M28" s="33"/>
      <c r="N28" s="33"/>
      <c r="O28" s="33"/>
      <c r="P28" s="33"/>
      <c r="Q28" s="33"/>
      <c r="R28" s="33"/>
      <c r="T28" s="69">
        <f>Variables!O8*-1</f>
        <v>0</v>
      </c>
      <c r="U28" s="43" t="str">
        <f>Variables!N8</f>
        <v>Auto RA 6</v>
      </c>
      <c r="V28" s="131">
        <f>Variables!P8</f>
        <v>0</v>
      </c>
      <c r="W28" s="258"/>
      <c r="X28" s="131"/>
      <c r="Y28" s="43"/>
      <c r="Z28" s="43"/>
      <c r="AA28" s="43"/>
      <c r="AB28" s="43"/>
      <c r="AC28" s="50"/>
      <c r="AD28" s="43"/>
      <c r="AE28" s="43"/>
      <c r="AF28" s="43"/>
    </row>
    <row r="29" spans="1:32" x14ac:dyDescent="0.2">
      <c r="A29" s="71" t="str">
        <f>L1</f>
        <v>Jun-2020</v>
      </c>
      <c r="B29" s="61">
        <f>IF($B$37="Yes",((Variables!$H$2*Variables!H9)+(Variables!$H$18*Variables!H25)+(Variables!$H$34*Variables!H41)+(Variables!$H$50*Variables!H57)+(Variables!$H$66*Variables!H73)+(Variables!$H$82*Variables!H89))*(1-Variables!B18),((Variables!$H$2*Variables!H9)+(Variables!$H$18*Variables!H25)+(Variables!$H$34*Variables!H41)+(Variables!$H$50*Variables!H57)+(Variables!$H$66*Variables!H73)+(Variables!$H$82*Variables!H89)))</f>
        <v>4200</v>
      </c>
      <c r="C29" s="45">
        <f>Variables!H9+Variables!H25+Variables!H41+Variables!H57+Variables!H73+Variables!H89</f>
        <v>2</v>
      </c>
      <c r="D29" s="274"/>
      <c r="E29" s="51" t="s">
        <v>4</v>
      </c>
      <c r="F29" s="33" t="str">
        <f t="shared" si="22"/>
        <v>Auto RA 7</v>
      </c>
      <c r="G29" s="33"/>
      <c r="H29" s="33"/>
      <c r="I29" s="33"/>
      <c r="J29" s="33"/>
      <c r="K29" s="33"/>
      <c r="L29" s="33"/>
      <c r="M29" s="33"/>
      <c r="N29" s="33"/>
      <c r="O29" s="33"/>
      <c r="P29" s="33"/>
      <c r="Q29" s="33"/>
      <c r="R29" s="33"/>
      <c r="T29" s="69">
        <f>Variables!O9*-1</f>
        <v>0</v>
      </c>
      <c r="U29" s="43" t="str">
        <f>Variables!N9</f>
        <v>Auto RA 7</v>
      </c>
      <c r="V29" s="131">
        <f>Variables!P9</f>
        <v>0</v>
      </c>
      <c r="W29" s="258"/>
      <c r="X29" s="131"/>
      <c r="Y29" s="43"/>
      <c r="Z29" s="43"/>
      <c r="AA29" s="43"/>
      <c r="AB29" s="43"/>
      <c r="AC29" s="43"/>
      <c r="AD29" s="43"/>
      <c r="AE29" s="43"/>
      <c r="AF29" s="43"/>
    </row>
    <row r="30" spans="1:32" x14ac:dyDescent="0.2">
      <c r="A30" s="71" t="str">
        <f>M1</f>
        <v>Jul-2020</v>
      </c>
      <c r="B30" s="61">
        <f>IF($B$37="Yes",((Variables!$H$2*Variables!H10)+(Variables!$H$18*Variables!H26)+(Variables!$H$34*Variables!H42)+(Variables!$H$50*Variables!H58)+(Variables!$H$66*Variables!H74)+(Variables!$H$82*Variables!H90))*(1-Variables!B18),((Variables!$H$2*Variables!H10)+(Variables!$H$18*Variables!H26)+(Variables!$H$34*Variables!H42)+(Variables!$H$50*Variables!H58)+(Variables!$H$66*Variables!H74)+(Variables!$H$82*Variables!H90)))</f>
        <v>6300</v>
      </c>
      <c r="C30" s="45">
        <f>Variables!H10+Variables!H26+Variables!H42+Variables!H58+Variables!H74+Variables!H90</f>
        <v>3</v>
      </c>
      <c r="D30" s="274"/>
      <c r="E30" s="51" t="s">
        <v>4</v>
      </c>
      <c r="F30" s="33" t="str">
        <f t="shared" si="22"/>
        <v>Auto RA 8</v>
      </c>
      <c r="G30" s="33"/>
      <c r="H30" s="33"/>
      <c r="I30" s="33"/>
      <c r="J30" s="33"/>
      <c r="K30" s="33"/>
      <c r="L30" s="33"/>
      <c r="M30" s="33"/>
      <c r="N30" s="33"/>
      <c r="O30" s="33"/>
      <c r="P30" s="33"/>
      <c r="Q30" s="33"/>
      <c r="R30" s="33"/>
      <c r="T30" s="69">
        <f>Variables!O10*-1</f>
        <v>0</v>
      </c>
      <c r="U30" s="43" t="str">
        <f>Variables!N10</f>
        <v>Auto RA 8</v>
      </c>
      <c r="V30" s="131">
        <f>Variables!P10</f>
        <v>0</v>
      </c>
      <c r="W30" s="258"/>
      <c r="X30" s="131"/>
      <c r="Y30" s="43"/>
      <c r="Z30" s="43"/>
      <c r="AA30" s="43"/>
      <c r="AB30" s="43"/>
      <c r="AC30" s="44"/>
      <c r="AD30" s="43"/>
      <c r="AE30" s="43"/>
      <c r="AF30" s="43"/>
    </row>
    <row r="31" spans="1:32" x14ac:dyDescent="0.2">
      <c r="A31" s="71" t="str">
        <f>N1</f>
        <v>Aug-2020</v>
      </c>
      <c r="B31" s="61">
        <f>IF($B$37="Yes",((Variables!$H$2*Variables!H11)+(Variables!$H$18*Variables!H27)+(Variables!$H$34*Variables!H43)+(Variables!$H$50*Variables!H59)+(Variables!$H$66*Variables!H75)+(Variables!$H$82*Variables!H91))*(1-Variables!B18),((Variables!$H$2*Variables!H11)+(Variables!$H$18*Variables!H27)+(Variables!$H$34*Variables!H43)+(Variables!$H$50*Variables!H59)+(Variables!$H$66*Variables!H75)+(Variables!$H$82*Variables!H91)))</f>
        <v>4200</v>
      </c>
      <c r="C31" s="45">
        <f>Variables!H11+Variables!H27+Variables!H43+Variables!H59+Variables!H75+Variables!H91</f>
        <v>2</v>
      </c>
      <c r="D31" s="274"/>
      <c r="E31" s="51" t="s">
        <v>4</v>
      </c>
      <c r="F31" s="33" t="str">
        <f t="shared" si="22"/>
        <v>Auto RA 9</v>
      </c>
      <c r="G31" s="33"/>
      <c r="H31" s="33"/>
      <c r="I31" s="33"/>
      <c r="J31" s="33"/>
      <c r="K31" s="33"/>
      <c r="L31" s="33"/>
      <c r="M31" s="33"/>
      <c r="N31" s="33"/>
      <c r="O31" s="33"/>
      <c r="P31" s="33"/>
      <c r="Q31" s="33"/>
      <c r="R31" s="33"/>
      <c r="T31" s="69">
        <f>Variables!O11*-1</f>
        <v>0</v>
      </c>
      <c r="U31" s="43" t="str">
        <f>Variables!N11</f>
        <v>Auto RA 9</v>
      </c>
      <c r="V31" s="131">
        <f>Variables!P11</f>
        <v>0</v>
      </c>
      <c r="W31" s="258"/>
      <c r="X31" s="131"/>
      <c r="Y31" s="43"/>
      <c r="Z31" s="43"/>
      <c r="AA31" s="43"/>
      <c r="AB31" s="43"/>
      <c r="AC31" s="43"/>
      <c r="AD31" s="43"/>
      <c r="AE31" s="43"/>
      <c r="AF31" s="43"/>
    </row>
    <row r="32" spans="1:32" x14ac:dyDescent="0.2">
      <c r="A32" s="71" t="str">
        <f>O1</f>
        <v>Sep-2020</v>
      </c>
      <c r="B32" s="61">
        <f>IF($B$37="Yes",((Variables!$H$2*Variables!H12)+(Variables!$H$18*Variables!H28)+(Variables!$H$34*Variables!H44)+(Variables!$H$50*Variables!H60)+(Variables!$H$66*Variables!H76)+(Variables!$H$82*Variables!H92))*(1-Variables!B18),((Variables!$H$2*Variables!H12)+(Variables!$H$18*Variables!H28)+(Variables!$H$34*Variables!H44)+(Variables!$H$50*Variables!H60)+(Variables!$H$66*Variables!H76)+(Variables!$H$82*Variables!H92)))</f>
        <v>4200</v>
      </c>
      <c r="C32" s="45">
        <f>Variables!H12+Variables!H28+Variables!H44+Variables!H60+Variables!H76+Variables!H92</f>
        <v>2</v>
      </c>
      <c r="D32" s="274"/>
      <c r="E32" s="51" t="s">
        <v>4</v>
      </c>
      <c r="F32" s="33" t="str">
        <f t="shared" si="22"/>
        <v>Auto RA 10</v>
      </c>
      <c r="G32" s="33"/>
      <c r="H32" s="33"/>
      <c r="I32" s="33"/>
      <c r="J32" s="33"/>
      <c r="K32" s="33"/>
      <c r="L32" s="33"/>
      <c r="M32" s="33"/>
      <c r="N32" s="33"/>
      <c r="O32" s="33"/>
      <c r="P32" s="33"/>
      <c r="Q32" s="33"/>
      <c r="R32" s="33"/>
      <c r="T32" s="69">
        <f>Variables!O12*-1</f>
        <v>0</v>
      </c>
      <c r="U32" s="43" t="str">
        <f>Variables!N12</f>
        <v>Auto RA 10</v>
      </c>
      <c r="V32" s="131">
        <f>Variables!P12</f>
        <v>0</v>
      </c>
      <c r="W32" s="258"/>
      <c r="X32" s="131"/>
      <c r="Y32" s="43"/>
      <c r="Z32" s="43"/>
      <c r="AA32" s="43"/>
      <c r="AB32" s="43"/>
      <c r="AC32" s="43"/>
      <c r="AD32" s="43"/>
      <c r="AE32" s="43"/>
      <c r="AF32" s="43"/>
    </row>
    <row r="33" spans="1:38" x14ac:dyDescent="0.2">
      <c r="A33" s="71" t="str">
        <f>P1</f>
        <v>Oct-2020</v>
      </c>
      <c r="B33" s="61">
        <f>IF($B$37="Yes",((Variables!$H$2*Variables!H13)+(Variables!$H$18*Variables!H29)+(Variables!$H$34*Variables!H45)+(Variables!$H$50*Variables!H61)+(Variables!$H$66*Variables!H77)+(Variables!$H$82*Variables!H93))*(1-Variables!B18),((Variables!$H$2*Variables!H13)+(Variables!$H$18*Variables!H29)+(Variables!$H$34*Variables!H45)+(Variables!$H$50*Variables!H61)+(Variables!$H$66*Variables!H77)+(Variables!$H$82*Variables!H93)))</f>
        <v>4200</v>
      </c>
      <c r="C33" s="45">
        <f>Variables!H13+Variables!H29+Variables!H45+Variables!H61+Variables!H77+Variables!H93</f>
        <v>2</v>
      </c>
      <c r="D33" s="274"/>
      <c r="E33" s="68" t="s">
        <v>6</v>
      </c>
      <c r="F33" s="33" t="str">
        <f t="shared" ref="F33:F39" si="23">U33</f>
        <v>Oil Change</v>
      </c>
      <c r="G33" s="73" t="s">
        <v>294</v>
      </c>
      <c r="H33" s="33"/>
      <c r="I33" s="72"/>
      <c r="J33" s="72" t="s">
        <v>294</v>
      </c>
      <c r="K33" s="33"/>
      <c r="L33" s="73"/>
      <c r="M33" s="73">
        <f>T33</f>
        <v>-20</v>
      </c>
      <c r="N33" s="72"/>
      <c r="O33" s="73"/>
      <c r="P33" s="73">
        <f>T33</f>
        <v>-20</v>
      </c>
      <c r="Q33" s="73"/>
      <c r="R33" s="73"/>
      <c r="S33" s="43"/>
      <c r="T33" s="69">
        <f>Variables!O14*-1</f>
        <v>-20</v>
      </c>
      <c r="U33" s="43" t="str">
        <f>Variables!N14</f>
        <v>Oil Change</v>
      </c>
      <c r="V33" s="131">
        <f>Variables!P14</f>
        <v>0</v>
      </c>
      <c r="W33" s="258"/>
      <c r="X33" s="131"/>
      <c r="Y33" s="43"/>
      <c r="Z33" s="43"/>
      <c r="AA33" s="43"/>
      <c r="AB33" s="43"/>
      <c r="AC33" s="43"/>
      <c r="AD33" s="43"/>
      <c r="AE33" s="43"/>
      <c r="AF33" s="43"/>
      <c r="AG33" s="43"/>
      <c r="AH33" s="43"/>
    </row>
    <row r="34" spans="1:38" x14ac:dyDescent="0.2">
      <c r="A34" s="71" t="str">
        <f>Q1</f>
        <v>Nov-2020</v>
      </c>
      <c r="B34" s="61">
        <f>IF($B$37="Yes",((Variables!$H$2*Variables!H14)+(Variables!$H$18*Variables!H30)+(Variables!$H$34*Variables!H46)+(Variables!$H$50*Variables!H62)+(Variables!$H$66*Variables!H78)+(Variables!$H$82*Variables!H94))*(1-Variables!B18),((Variables!$H$2*Variables!H14)+(Variables!$H$18*Variables!H30)+(Variables!$H$34*Variables!H46)+(Variables!$H$50*Variables!H62)+(Variables!$H$66*Variables!H78)+(Variables!$H$82*Variables!H94)))</f>
        <v>4200</v>
      </c>
      <c r="C34" s="45">
        <f>Variables!H14+Variables!H30+Variables!H46+Variables!H62+Variables!H78+Variables!H94</f>
        <v>2</v>
      </c>
      <c r="D34" s="274"/>
      <c r="E34" s="68" t="s">
        <v>6</v>
      </c>
      <c r="F34" s="33" t="str">
        <f t="shared" si="23"/>
        <v>Car Registration</v>
      </c>
      <c r="G34" s="33"/>
      <c r="H34" s="33"/>
      <c r="I34" s="72"/>
      <c r="J34" s="72"/>
      <c r="K34" s="33"/>
      <c r="L34" s="73"/>
      <c r="M34" s="73"/>
      <c r="N34" s="72">
        <f>T34</f>
        <v>-25</v>
      </c>
      <c r="O34" s="73"/>
      <c r="P34" s="73"/>
      <c r="Q34" s="73"/>
      <c r="R34" s="73"/>
      <c r="S34" s="43"/>
      <c r="T34" s="69">
        <f>Variables!O15*-1</f>
        <v>-25</v>
      </c>
      <c r="U34" s="43" t="str">
        <f>Variables!N15</f>
        <v>Car Registration</v>
      </c>
      <c r="V34" s="131">
        <f>Variables!P15</f>
        <v>0</v>
      </c>
      <c r="W34" s="258"/>
      <c r="X34" s="131"/>
      <c r="Y34" s="43"/>
      <c r="Z34" s="43"/>
      <c r="AA34" s="43"/>
      <c r="AB34" s="43"/>
      <c r="AC34" s="43"/>
      <c r="AD34" s="61"/>
      <c r="AE34" s="43"/>
      <c r="AF34" s="43"/>
      <c r="AG34" s="43"/>
      <c r="AH34" s="43"/>
    </row>
    <row r="35" spans="1:38" x14ac:dyDescent="0.2">
      <c r="A35" s="71" t="str">
        <f>R1</f>
        <v>Dec-2020</v>
      </c>
      <c r="B35" s="61">
        <f>IF($B$37="Yes",((Variables!$H$2*Variables!H15)+(Variables!$H$18*Variables!H31)+(Variables!$H$34*Variables!H47)+(Variables!$H$50*Variables!H63)+(Variables!$H$66*Variables!H79)+(Variables!$H$82*Variables!H95))*(1-Variables!B18),((Variables!$H$2*Variables!H15)+(Variables!$H$18*Variables!H31)+(Variables!$H$34*Variables!H47)+(Variables!$H$50*Variables!H63)+(Variables!$H$66*Variables!H79)+(Variables!$H$82*Variables!H95)))</f>
        <v>4200</v>
      </c>
      <c r="C35" s="45">
        <f>Variables!H15+Variables!H31+Variables!H47+Variables!H63+Variables!H79+Variables!H95</f>
        <v>2</v>
      </c>
      <c r="D35" s="274"/>
      <c r="E35" s="68" t="s">
        <v>6</v>
      </c>
      <c r="F35" s="33" t="str">
        <f t="shared" si="23"/>
        <v>Manual RA 3</v>
      </c>
      <c r="G35" s="73"/>
      <c r="H35" s="72"/>
      <c r="I35" s="72"/>
      <c r="J35" s="72"/>
      <c r="K35" s="72"/>
      <c r="L35" s="72"/>
      <c r="M35" s="72"/>
      <c r="N35" s="72"/>
      <c r="O35" s="72"/>
      <c r="P35" s="72"/>
      <c r="Q35" s="72"/>
      <c r="R35" s="72"/>
      <c r="S35" s="43"/>
      <c r="T35" s="69">
        <f>Variables!O16*-1</f>
        <v>0</v>
      </c>
      <c r="U35" s="43" t="str">
        <f>Variables!N16</f>
        <v>Manual RA 3</v>
      </c>
      <c r="V35" s="131">
        <f>Variables!P16</f>
        <v>0</v>
      </c>
      <c r="W35" s="258"/>
      <c r="X35" s="131"/>
      <c r="Y35" s="43"/>
      <c r="Z35" s="43"/>
      <c r="AA35" s="43"/>
      <c r="AB35" s="43"/>
      <c r="AC35" s="43"/>
      <c r="AD35" s="43"/>
      <c r="AE35" s="43"/>
      <c r="AF35" s="43"/>
      <c r="AG35" s="43"/>
      <c r="AH35" s="43"/>
    </row>
    <row r="36" spans="1:38" x14ac:dyDescent="0.2">
      <c r="A36" s="43"/>
      <c r="B36" s="43"/>
      <c r="C36" s="75">
        <f>SUM(C24:C35)</f>
        <v>17</v>
      </c>
      <c r="D36" s="274"/>
      <c r="E36" s="68" t="s">
        <v>6</v>
      </c>
      <c r="F36" s="33" t="str">
        <f t="shared" si="23"/>
        <v>Manual RA 4</v>
      </c>
      <c r="G36" s="74"/>
      <c r="H36" s="74"/>
      <c r="I36" s="73"/>
      <c r="J36" s="73"/>
      <c r="K36" s="73"/>
      <c r="L36" s="73"/>
      <c r="M36" s="74"/>
      <c r="N36" s="73"/>
      <c r="O36" s="73"/>
      <c r="P36" s="73"/>
      <c r="Q36" s="73"/>
      <c r="R36" s="73"/>
      <c r="S36" s="43"/>
      <c r="T36" s="69">
        <f>Variables!O17*-1</f>
        <v>0</v>
      </c>
      <c r="U36" s="43" t="str">
        <f>Variables!N17</f>
        <v>Manual RA 4</v>
      </c>
      <c r="V36" s="131">
        <f>Variables!P17</f>
        <v>0</v>
      </c>
      <c r="W36" s="258"/>
      <c r="X36" s="131"/>
      <c r="Y36" s="43"/>
      <c r="Z36" s="43"/>
      <c r="AA36" s="43"/>
      <c r="AB36" s="43"/>
      <c r="AC36" s="43"/>
      <c r="AD36" s="61"/>
      <c r="AE36" s="43"/>
      <c r="AF36" s="43"/>
      <c r="AG36" s="43"/>
      <c r="AH36" s="43"/>
    </row>
    <row r="37" spans="1:38" x14ac:dyDescent="0.2">
      <c r="A37" s="89" t="s">
        <v>220</v>
      </c>
      <c r="B37" s="115" t="s">
        <v>255</v>
      </c>
      <c r="C37" s="45"/>
      <c r="D37" s="274"/>
      <c r="E37" s="68" t="s">
        <v>6</v>
      </c>
      <c r="F37" s="33" t="str">
        <f t="shared" si="23"/>
        <v>Manual RA 5</v>
      </c>
      <c r="G37" s="73"/>
      <c r="H37" s="74"/>
      <c r="I37" s="73"/>
      <c r="J37" s="73"/>
      <c r="K37" s="74"/>
      <c r="L37" s="73"/>
      <c r="M37" s="73"/>
      <c r="N37" s="74"/>
      <c r="O37" s="73"/>
      <c r="P37" s="73"/>
      <c r="Q37" s="73"/>
      <c r="R37" s="73"/>
      <c r="S37" s="43"/>
      <c r="T37" s="69">
        <f>Variables!O18*-1</f>
        <v>0</v>
      </c>
      <c r="U37" s="43" t="str">
        <f>Variables!N18</f>
        <v>Manual RA 5</v>
      </c>
      <c r="V37" s="131">
        <f>Variables!P18</f>
        <v>0</v>
      </c>
      <c r="W37" s="258"/>
      <c r="X37" s="131"/>
      <c r="Y37" s="43"/>
      <c r="Z37" s="43"/>
      <c r="AA37" s="43"/>
      <c r="AB37" s="43"/>
      <c r="AC37" s="43"/>
      <c r="AD37" s="43"/>
      <c r="AE37" s="43"/>
      <c r="AF37" s="43"/>
      <c r="AG37" s="43"/>
      <c r="AH37" s="76"/>
      <c r="AI37" s="77"/>
      <c r="AK37" s="77"/>
    </row>
    <row r="38" spans="1:38" x14ac:dyDescent="0.2">
      <c r="A38" s="89"/>
      <c r="B38" s="89"/>
      <c r="C38" s="45"/>
      <c r="D38" s="274"/>
      <c r="E38" s="68" t="s">
        <v>6</v>
      </c>
      <c r="F38" s="33" t="str">
        <f t="shared" si="23"/>
        <v>Manual RA 6</v>
      </c>
      <c r="G38" s="73"/>
      <c r="H38" s="73"/>
      <c r="I38" s="73"/>
      <c r="J38" s="73"/>
      <c r="K38" s="73"/>
      <c r="L38" s="73"/>
      <c r="M38" s="74"/>
      <c r="N38" s="73"/>
      <c r="O38" s="73"/>
      <c r="P38" s="73"/>
      <c r="Q38" s="73"/>
      <c r="R38" s="73"/>
      <c r="S38" s="43"/>
      <c r="T38" s="69">
        <f>Variables!O19*-1</f>
        <v>0</v>
      </c>
      <c r="U38" s="43" t="str">
        <f>Variables!N19</f>
        <v>Manual RA 6</v>
      </c>
      <c r="V38" s="131">
        <f>Variables!P19</f>
        <v>0</v>
      </c>
      <c r="W38" s="258"/>
      <c r="X38" s="131"/>
      <c r="Y38" s="43"/>
      <c r="Z38" s="43"/>
      <c r="AA38" s="43"/>
      <c r="AB38" s="43"/>
      <c r="AC38" s="43"/>
      <c r="AD38" s="78"/>
      <c r="AE38" s="78"/>
      <c r="AF38" s="78"/>
      <c r="AG38" s="79"/>
      <c r="AH38" s="78"/>
      <c r="AI38" s="78"/>
      <c r="AJ38" s="78"/>
      <c r="AK38" s="78"/>
      <c r="AL38" s="78"/>
    </row>
    <row r="39" spans="1:38" x14ac:dyDescent="0.2">
      <c r="A39" s="43" t="str">
        <f>"Year "&amp;Variables!B2</f>
        <v>Year 2020</v>
      </c>
      <c r="B39" s="43"/>
      <c r="C39" s="45"/>
      <c r="D39" s="274"/>
      <c r="E39" s="68" t="s">
        <v>6</v>
      </c>
      <c r="F39" s="33" t="str">
        <f t="shared" si="23"/>
        <v>Manual RA 7</v>
      </c>
      <c r="G39" s="74"/>
      <c r="H39" s="74"/>
      <c r="I39" s="74"/>
      <c r="J39" s="74"/>
      <c r="K39" s="74"/>
      <c r="L39" s="74"/>
      <c r="M39" s="74"/>
      <c r="N39" s="74"/>
      <c r="O39" s="74"/>
      <c r="P39" s="74"/>
      <c r="Q39" s="74"/>
      <c r="R39" s="74"/>
      <c r="S39" s="43"/>
      <c r="T39" s="69">
        <f>Variables!O20*-1</f>
        <v>0</v>
      </c>
      <c r="U39" s="43" t="str">
        <f>Variables!N20</f>
        <v>Manual RA 7</v>
      </c>
      <c r="V39" s="131">
        <f>Variables!P20</f>
        <v>0</v>
      </c>
      <c r="W39" s="258"/>
      <c r="X39" s="131"/>
      <c r="Y39" s="43"/>
      <c r="Z39" s="43"/>
      <c r="AA39" s="43"/>
      <c r="AB39" s="43"/>
      <c r="AC39" s="43"/>
      <c r="AD39" s="80"/>
      <c r="AE39" s="80"/>
      <c r="AF39" s="80"/>
      <c r="AG39" s="80"/>
      <c r="AH39" s="80"/>
      <c r="AI39" s="80"/>
      <c r="AJ39" s="80"/>
      <c r="AK39" s="80"/>
      <c r="AL39" s="80"/>
    </row>
    <row r="40" spans="1:38" x14ac:dyDescent="0.2">
      <c r="A40" s="43" t="s">
        <v>18</v>
      </c>
      <c r="B40" s="44">
        <f>SUM(B12:B23)</f>
        <v>-26413.01</v>
      </c>
      <c r="C40" s="61"/>
      <c r="D40" s="274"/>
      <c r="E40" s="68" t="s">
        <v>6</v>
      </c>
      <c r="F40" s="33" t="str">
        <f t="shared" ref="F40:F42" si="24">U40</f>
        <v>Manual RA 8</v>
      </c>
      <c r="G40" s="73"/>
      <c r="H40" s="73"/>
      <c r="I40" s="73"/>
      <c r="J40" s="73"/>
      <c r="K40" s="73"/>
      <c r="L40" s="73"/>
      <c r="M40" s="73"/>
      <c r="N40" s="73"/>
      <c r="O40" s="73"/>
      <c r="P40" s="73"/>
      <c r="Q40" s="73"/>
      <c r="R40" s="73"/>
      <c r="T40" s="69">
        <f>Variables!O21*-1</f>
        <v>0</v>
      </c>
      <c r="U40" s="43" t="str">
        <f>Variables!N21</f>
        <v>Manual RA 8</v>
      </c>
      <c r="V40" s="131">
        <f>Variables!P21</f>
        <v>0</v>
      </c>
      <c r="W40" s="258"/>
      <c r="X40" s="131"/>
      <c r="Y40" s="43"/>
      <c r="Z40" s="43" t="s">
        <v>22</v>
      </c>
      <c r="AA40" s="43"/>
      <c r="AB40" s="43"/>
      <c r="AC40" s="43"/>
      <c r="AD40" s="80"/>
      <c r="AE40" s="81"/>
      <c r="AF40" s="80"/>
      <c r="AG40" s="80"/>
      <c r="AH40" s="80"/>
      <c r="AI40" s="80"/>
      <c r="AJ40" s="82"/>
      <c r="AK40" s="80"/>
      <c r="AL40" s="82"/>
    </row>
    <row r="41" spans="1:38" x14ac:dyDescent="0.2">
      <c r="A41" s="43" t="s">
        <v>19</v>
      </c>
      <c r="B41" s="50">
        <f>SUM(B24:B35)</f>
        <v>35700</v>
      </c>
      <c r="C41" s="83"/>
      <c r="D41" s="274"/>
      <c r="E41" s="68" t="s">
        <v>6</v>
      </c>
      <c r="F41" s="33" t="str">
        <f t="shared" si="24"/>
        <v>Manual RA 9</v>
      </c>
      <c r="G41" s="73"/>
      <c r="H41" s="73"/>
      <c r="I41" s="73"/>
      <c r="J41" s="73"/>
      <c r="K41" s="73"/>
      <c r="L41" s="73"/>
      <c r="M41" s="73"/>
      <c r="N41" s="73"/>
      <c r="O41" s="73"/>
      <c r="P41" s="73"/>
      <c r="Q41" s="73"/>
      <c r="R41" s="73"/>
      <c r="T41" s="69">
        <f>Variables!O22*-1</f>
        <v>0</v>
      </c>
      <c r="U41" s="43" t="str">
        <f>Variables!N22</f>
        <v>Manual RA 9</v>
      </c>
      <c r="V41" s="131">
        <f>Variables!P22</f>
        <v>0</v>
      </c>
      <c r="W41" s="258"/>
      <c r="X41" s="131"/>
      <c r="Y41" s="43">
        <v>1</v>
      </c>
      <c r="Z41" s="43" t="str">
        <f t="shared" ref="Z41:Z52" si="25">IF(ABS(TOTAL_Projected*Y41)&lt;TOTAL_Savings,"YES","NO")</f>
        <v>YES</v>
      </c>
      <c r="AA41" s="44">
        <f t="shared" ref="AA41:AA52" si="26">TOTAL_Projected*Y41</f>
        <v>-3135.08</v>
      </c>
      <c r="AB41" s="43"/>
      <c r="AC41" s="43"/>
      <c r="AD41" s="80"/>
      <c r="AE41" s="81"/>
      <c r="AF41" s="80"/>
      <c r="AG41" s="80"/>
      <c r="AH41" s="80"/>
      <c r="AI41" s="80"/>
      <c r="AJ41" s="82"/>
      <c r="AK41" s="80"/>
      <c r="AL41" s="82"/>
    </row>
    <row r="42" spans="1:38" x14ac:dyDescent="0.2">
      <c r="A42" s="43" t="s">
        <v>20</v>
      </c>
      <c r="B42" s="44">
        <f>CASH</f>
        <v>10741</v>
      </c>
      <c r="C42" s="83"/>
      <c r="D42" s="275"/>
      <c r="E42" s="68" t="s">
        <v>6</v>
      </c>
      <c r="F42" s="33" t="str">
        <f t="shared" si="24"/>
        <v>Manual RA 10</v>
      </c>
      <c r="G42" s="73"/>
      <c r="H42" s="73"/>
      <c r="I42" s="73"/>
      <c r="J42" s="73"/>
      <c r="K42" s="73"/>
      <c r="L42" s="73"/>
      <c r="M42" s="73"/>
      <c r="N42" s="73"/>
      <c r="O42" s="73"/>
      <c r="P42" s="73"/>
      <c r="Q42" s="73"/>
      <c r="R42" s="73"/>
      <c r="T42" s="69">
        <f>Variables!O23*-1</f>
        <v>0</v>
      </c>
      <c r="U42" s="43" t="str">
        <f>Variables!N23</f>
        <v>Manual RA 10</v>
      </c>
      <c r="V42" s="131">
        <f>Variables!P23</f>
        <v>0</v>
      </c>
      <c r="W42" s="259"/>
      <c r="X42" s="131"/>
      <c r="Y42" s="43">
        <v>2</v>
      </c>
      <c r="Z42" s="43" t="str">
        <f t="shared" si="25"/>
        <v>YES</v>
      </c>
      <c r="AA42" s="44">
        <f t="shared" si="26"/>
        <v>-6270.16</v>
      </c>
      <c r="AB42" s="43"/>
      <c r="AC42" s="43"/>
      <c r="AD42" s="84"/>
      <c r="AE42" s="81"/>
      <c r="AF42" s="80"/>
      <c r="AG42" s="80"/>
      <c r="AH42" s="80"/>
      <c r="AI42" s="80"/>
      <c r="AJ42" s="82"/>
      <c r="AK42" s="80"/>
      <c r="AL42" s="82"/>
    </row>
    <row r="43" spans="1:38" x14ac:dyDescent="0.2">
      <c r="A43" s="43" t="s">
        <v>21</v>
      </c>
      <c r="B43" s="86">
        <f>SUM(B40:B42)</f>
        <v>20027.990000000002</v>
      </c>
      <c r="C43" s="45"/>
      <c r="D43" s="276" t="str">
        <f>Variables!$R$2</f>
        <v>Loans</v>
      </c>
      <c r="E43" s="51" t="s">
        <v>4</v>
      </c>
      <c r="F43" s="35" t="str">
        <f>U43</f>
        <v>Student Loan 1</v>
      </c>
      <c r="G43" s="85"/>
      <c r="H43" s="85"/>
      <c r="I43" s="85"/>
      <c r="J43" s="85"/>
      <c r="K43" s="85">
        <f t="shared" ref="K43:R43" si="27">$T$43</f>
        <v>-80</v>
      </c>
      <c r="L43" s="85">
        <f t="shared" si="27"/>
        <v>-80</v>
      </c>
      <c r="M43" s="85">
        <f t="shared" si="27"/>
        <v>-80</v>
      </c>
      <c r="N43" s="85">
        <f t="shared" si="27"/>
        <v>-80</v>
      </c>
      <c r="O43" s="85">
        <f t="shared" si="27"/>
        <v>-80</v>
      </c>
      <c r="P43" s="85">
        <f t="shared" si="27"/>
        <v>-80</v>
      </c>
      <c r="Q43" s="85">
        <f t="shared" si="27"/>
        <v>-80</v>
      </c>
      <c r="R43" s="85">
        <f t="shared" si="27"/>
        <v>-80</v>
      </c>
      <c r="S43" s="43"/>
      <c r="T43" s="53">
        <f>Variables!S3*-1</f>
        <v>-80</v>
      </c>
      <c r="U43" s="54" t="str">
        <f>Variables!R3</f>
        <v>Student Loan 1</v>
      </c>
      <c r="V43" s="131">
        <f>Variables!T3</f>
        <v>0</v>
      </c>
      <c r="W43" s="260" t="str">
        <f>Variables!$R$2</f>
        <v>Loans</v>
      </c>
      <c r="X43" s="131"/>
      <c r="Y43" s="43">
        <v>3</v>
      </c>
      <c r="Z43" s="43" t="str">
        <f t="shared" si="25"/>
        <v>NO</v>
      </c>
      <c r="AA43" s="44">
        <f t="shared" si="26"/>
        <v>-9405.24</v>
      </c>
      <c r="AB43" s="43"/>
      <c r="AC43" s="43"/>
      <c r="AD43" s="80"/>
      <c r="AE43" s="81"/>
      <c r="AF43" s="80"/>
      <c r="AG43" s="80"/>
      <c r="AH43" s="80"/>
      <c r="AI43" s="80"/>
      <c r="AJ43" s="82"/>
      <c r="AK43" s="80"/>
      <c r="AL43" s="82"/>
    </row>
    <row r="44" spans="1:38" x14ac:dyDescent="0.2">
      <c r="C44" s="45"/>
      <c r="D44" s="277"/>
      <c r="E44" s="51" t="s">
        <v>4</v>
      </c>
      <c r="F44" s="35" t="str">
        <f t="shared" ref="F44:F62" si="28">U44</f>
        <v>Student Loan 2</v>
      </c>
      <c r="G44" s="85"/>
      <c r="H44" s="85"/>
      <c r="I44" s="85"/>
      <c r="J44" s="85"/>
      <c r="K44" s="85">
        <f t="shared" ref="K44:R44" si="29">$T$44</f>
        <v>-101</v>
      </c>
      <c r="L44" s="85">
        <f t="shared" si="29"/>
        <v>-101</v>
      </c>
      <c r="M44" s="85">
        <f t="shared" si="29"/>
        <v>-101</v>
      </c>
      <c r="N44" s="85">
        <f t="shared" si="29"/>
        <v>-101</v>
      </c>
      <c r="O44" s="85">
        <f t="shared" si="29"/>
        <v>-101</v>
      </c>
      <c r="P44" s="85">
        <f t="shared" si="29"/>
        <v>-101</v>
      </c>
      <c r="Q44" s="85">
        <f t="shared" si="29"/>
        <v>-101</v>
      </c>
      <c r="R44" s="85">
        <f t="shared" si="29"/>
        <v>-101</v>
      </c>
      <c r="S44" s="43"/>
      <c r="T44" s="53">
        <f>Variables!S4*-1</f>
        <v>-101</v>
      </c>
      <c r="U44" s="54" t="str">
        <f>Variables!R4</f>
        <v>Student Loan 2</v>
      </c>
      <c r="V44" s="131">
        <f>Variables!T4</f>
        <v>0</v>
      </c>
      <c r="W44" s="261"/>
      <c r="X44" s="131"/>
      <c r="Y44" s="43">
        <v>4</v>
      </c>
      <c r="Z44" s="43" t="str">
        <f t="shared" si="25"/>
        <v>NO</v>
      </c>
      <c r="AA44" s="44">
        <f t="shared" si="26"/>
        <v>-12540.32</v>
      </c>
      <c r="AB44" s="43"/>
      <c r="AC44" s="43"/>
      <c r="AD44" s="80"/>
      <c r="AE44" s="81"/>
      <c r="AF44" s="80"/>
      <c r="AG44" s="80"/>
      <c r="AH44" s="80"/>
      <c r="AI44" s="80"/>
      <c r="AJ44" s="82"/>
      <c r="AK44" s="80"/>
      <c r="AL44" s="82"/>
    </row>
    <row r="45" spans="1:38" x14ac:dyDescent="0.2">
      <c r="C45" s="87"/>
      <c r="D45" s="277"/>
      <c r="E45" s="51" t="s">
        <v>4</v>
      </c>
      <c r="F45" s="35" t="str">
        <f t="shared" si="28"/>
        <v>Personal Loan</v>
      </c>
      <c r="G45" s="85"/>
      <c r="H45" s="85"/>
      <c r="I45" s="85"/>
      <c r="J45" s="85"/>
      <c r="K45" s="85">
        <f t="shared" ref="K45:R45" si="30">$T$45</f>
        <v>-120</v>
      </c>
      <c r="L45" s="85">
        <f t="shared" si="30"/>
        <v>-120</v>
      </c>
      <c r="M45" s="85">
        <f t="shared" si="30"/>
        <v>-120</v>
      </c>
      <c r="N45" s="85">
        <f t="shared" si="30"/>
        <v>-120</v>
      </c>
      <c r="O45" s="85">
        <f t="shared" si="30"/>
        <v>-120</v>
      </c>
      <c r="P45" s="85">
        <f t="shared" si="30"/>
        <v>-120</v>
      </c>
      <c r="Q45" s="85">
        <f t="shared" si="30"/>
        <v>-120</v>
      </c>
      <c r="R45" s="85">
        <f t="shared" si="30"/>
        <v>-120</v>
      </c>
      <c r="S45" s="43"/>
      <c r="T45" s="53">
        <f>Variables!S5*-1</f>
        <v>-120</v>
      </c>
      <c r="U45" s="54" t="str">
        <f>Variables!R5</f>
        <v>Personal Loan</v>
      </c>
      <c r="V45" s="131">
        <f>Variables!T5</f>
        <v>0</v>
      </c>
      <c r="W45" s="261"/>
      <c r="X45" s="131"/>
      <c r="Y45" s="43">
        <v>5</v>
      </c>
      <c r="Z45" s="43" t="str">
        <f t="shared" si="25"/>
        <v>NO</v>
      </c>
      <c r="AA45" s="44">
        <f t="shared" si="26"/>
        <v>-15675.4</v>
      </c>
      <c r="AB45" s="43"/>
      <c r="AC45" s="43"/>
      <c r="AD45" s="80"/>
      <c r="AE45" s="81"/>
      <c r="AF45" s="80"/>
      <c r="AG45" s="80"/>
      <c r="AH45" s="80"/>
      <c r="AI45" s="80"/>
      <c r="AJ45" s="82"/>
      <c r="AK45" s="80"/>
      <c r="AL45" s="82"/>
    </row>
    <row r="46" spans="1:38" x14ac:dyDescent="0.2">
      <c r="A46" s="43"/>
      <c r="B46" s="88"/>
      <c r="C46" s="87"/>
      <c r="D46" s="277"/>
      <c r="E46" s="51" t="s">
        <v>4</v>
      </c>
      <c r="F46" s="35" t="str">
        <f t="shared" si="28"/>
        <v>Auto Loan 4</v>
      </c>
      <c r="G46" s="85"/>
      <c r="H46" s="85"/>
      <c r="I46" s="85"/>
      <c r="J46" s="85"/>
      <c r="K46" s="85">
        <f t="shared" ref="K46:R46" si="31">$T$46</f>
        <v>0</v>
      </c>
      <c r="L46" s="85">
        <f t="shared" si="31"/>
        <v>0</v>
      </c>
      <c r="M46" s="85">
        <f t="shared" si="31"/>
        <v>0</v>
      </c>
      <c r="N46" s="85">
        <f t="shared" si="31"/>
        <v>0</v>
      </c>
      <c r="O46" s="85">
        <f t="shared" si="31"/>
        <v>0</v>
      </c>
      <c r="P46" s="85">
        <f t="shared" si="31"/>
        <v>0</v>
      </c>
      <c r="Q46" s="85">
        <f t="shared" si="31"/>
        <v>0</v>
      </c>
      <c r="R46" s="85">
        <f t="shared" si="31"/>
        <v>0</v>
      </c>
      <c r="T46" s="53">
        <f>Variables!S6*-1</f>
        <v>0</v>
      </c>
      <c r="U46" s="54" t="str">
        <f>Variables!R6</f>
        <v>Auto Loan 4</v>
      </c>
      <c r="V46" s="131">
        <f>Variables!T6</f>
        <v>0</v>
      </c>
      <c r="W46" s="261"/>
      <c r="X46" s="131"/>
      <c r="Y46" s="43">
        <v>6</v>
      </c>
      <c r="Z46" s="43" t="str">
        <f t="shared" si="25"/>
        <v>NO</v>
      </c>
      <c r="AA46" s="44">
        <f t="shared" si="26"/>
        <v>-18810.48</v>
      </c>
      <c r="AB46" s="43"/>
      <c r="AC46" s="43"/>
      <c r="AD46" s="80"/>
      <c r="AE46" s="81"/>
      <c r="AF46" s="80"/>
      <c r="AG46" s="80"/>
      <c r="AH46" s="80"/>
      <c r="AI46" s="80"/>
      <c r="AJ46" s="82"/>
      <c r="AK46" s="80"/>
      <c r="AL46" s="82"/>
    </row>
    <row r="47" spans="1:38" x14ac:dyDescent="0.2">
      <c r="A47" s="89"/>
      <c r="B47" s="90"/>
      <c r="C47" s="87"/>
      <c r="D47" s="277"/>
      <c r="E47" s="51" t="s">
        <v>4</v>
      </c>
      <c r="F47" s="35" t="str">
        <f t="shared" si="28"/>
        <v>Auto Loan 5</v>
      </c>
      <c r="G47" s="85"/>
      <c r="H47" s="85"/>
      <c r="I47" s="85"/>
      <c r="J47" s="85"/>
      <c r="K47" s="85">
        <f t="shared" ref="K47:R47" si="32">$T$47</f>
        <v>0</v>
      </c>
      <c r="L47" s="85">
        <f t="shared" si="32"/>
        <v>0</v>
      </c>
      <c r="M47" s="85">
        <f t="shared" si="32"/>
        <v>0</v>
      </c>
      <c r="N47" s="85">
        <f t="shared" si="32"/>
        <v>0</v>
      </c>
      <c r="O47" s="85">
        <f t="shared" si="32"/>
        <v>0</v>
      </c>
      <c r="P47" s="85">
        <f t="shared" si="32"/>
        <v>0</v>
      </c>
      <c r="Q47" s="85">
        <f t="shared" si="32"/>
        <v>0</v>
      </c>
      <c r="R47" s="85">
        <f t="shared" si="32"/>
        <v>0</v>
      </c>
      <c r="T47" s="53">
        <f>Variables!S7*-1</f>
        <v>0</v>
      </c>
      <c r="U47" s="54" t="str">
        <f>Variables!R7</f>
        <v>Auto Loan 5</v>
      </c>
      <c r="V47" s="131">
        <f>Variables!T7</f>
        <v>0</v>
      </c>
      <c r="W47" s="261"/>
      <c r="X47" s="131"/>
      <c r="Y47" s="43">
        <v>7</v>
      </c>
      <c r="Z47" s="43" t="str">
        <f t="shared" si="25"/>
        <v>NO</v>
      </c>
      <c r="AA47" s="44">
        <f t="shared" si="26"/>
        <v>-21945.559999999998</v>
      </c>
      <c r="AB47" s="43"/>
      <c r="AC47" s="43"/>
      <c r="AD47" s="80"/>
      <c r="AE47" s="81"/>
      <c r="AF47" s="80"/>
      <c r="AG47" s="80"/>
      <c r="AH47" s="80"/>
      <c r="AI47" s="80"/>
      <c r="AJ47" s="82"/>
      <c r="AK47" s="80"/>
      <c r="AL47" s="82"/>
    </row>
    <row r="48" spans="1:38" x14ac:dyDescent="0.2">
      <c r="A48" s="89"/>
      <c r="B48" s="90"/>
      <c r="C48" s="87"/>
      <c r="D48" s="277"/>
      <c r="E48" s="51" t="s">
        <v>4</v>
      </c>
      <c r="F48" s="35" t="str">
        <f t="shared" si="28"/>
        <v>Auto Loan 6</v>
      </c>
      <c r="G48" s="85"/>
      <c r="H48" s="85"/>
      <c r="I48" s="85"/>
      <c r="J48" s="85"/>
      <c r="K48" s="85">
        <f t="shared" ref="K48:R48" si="33">$T$48</f>
        <v>0</v>
      </c>
      <c r="L48" s="85">
        <f t="shared" si="33"/>
        <v>0</v>
      </c>
      <c r="M48" s="85">
        <f t="shared" si="33"/>
        <v>0</v>
      </c>
      <c r="N48" s="85">
        <f t="shared" si="33"/>
        <v>0</v>
      </c>
      <c r="O48" s="85">
        <f t="shared" si="33"/>
        <v>0</v>
      </c>
      <c r="P48" s="85">
        <f t="shared" si="33"/>
        <v>0</v>
      </c>
      <c r="Q48" s="85">
        <f t="shared" si="33"/>
        <v>0</v>
      </c>
      <c r="R48" s="85">
        <f t="shared" si="33"/>
        <v>0</v>
      </c>
      <c r="T48" s="53">
        <f>Variables!S8*-1</f>
        <v>0</v>
      </c>
      <c r="U48" s="54" t="str">
        <f>Variables!R8</f>
        <v>Auto Loan 6</v>
      </c>
      <c r="V48" s="131">
        <f>Variables!T8</f>
        <v>0</v>
      </c>
      <c r="W48" s="261"/>
      <c r="X48" s="131"/>
      <c r="Y48" s="43">
        <v>8</v>
      </c>
      <c r="Z48" s="43" t="str">
        <f t="shared" si="25"/>
        <v>NO</v>
      </c>
      <c r="AA48" s="44">
        <f t="shared" si="26"/>
        <v>-25080.639999999999</v>
      </c>
      <c r="AB48" s="43"/>
      <c r="AC48" s="43"/>
      <c r="AD48" s="80"/>
      <c r="AE48" s="81"/>
      <c r="AF48" s="80"/>
      <c r="AG48" s="81"/>
      <c r="AH48" s="80"/>
      <c r="AI48" s="80"/>
      <c r="AJ48" s="82"/>
      <c r="AK48" s="80"/>
      <c r="AL48" s="82"/>
    </row>
    <row r="49" spans="1:38" x14ac:dyDescent="0.2">
      <c r="A49" s="89"/>
      <c r="B49" s="90"/>
      <c r="C49" s="87"/>
      <c r="D49" s="277"/>
      <c r="E49" s="51" t="s">
        <v>4</v>
      </c>
      <c r="F49" s="35" t="str">
        <f t="shared" si="28"/>
        <v>Auto Loan 7</v>
      </c>
      <c r="G49" s="85"/>
      <c r="H49" s="85"/>
      <c r="I49" s="85"/>
      <c r="J49" s="85"/>
      <c r="K49" s="85">
        <f t="shared" ref="K49:R49" si="34">$T$49</f>
        <v>0</v>
      </c>
      <c r="L49" s="85">
        <f t="shared" si="34"/>
        <v>0</v>
      </c>
      <c r="M49" s="85">
        <f t="shared" si="34"/>
        <v>0</v>
      </c>
      <c r="N49" s="85">
        <f t="shared" si="34"/>
        <v>0</v>
      </c>
      <c r="O49" s="85">
        <f t="shared" si="34"/>
        <v>0</v>
      </c>
      <c r="P49" s="85">
        <f t="shared" si="34"/>
        <v>0</v>
      </c>
      <c r="Q49" s="85">
        <f t="shared" si="34"/>
        <v>0</v>
      </c>
      <c r="R49" s="85">
        <f t="shared" si="34"/>
        <v>0</v>
      </c>
      <c r="T49" s="53">
        <f>Variables!S9*-1</f>
        <v>0</v>
      </c>
      <c r="U49" s="54" t="str">
        <f>Variables!R9</f>
        <v>Auto Loan 7</v>
      </c>
      <c r="V49" s="131">
        <f>Variables!T9</f>
        <v>0</v>
      </c>
      <c r="W49" s="261"/>
      <c r="X49" s="131"/>
      <c r="Y49" s="43">
        <v>9</v>
      </c>
      <c r="Z49" s="43" t="str">
        <f t="shared" si="25"/>
        <v>NO</v>
      </c>
      <c r="AA49" s="44">
        <f t="shared" si="26"/>
        <v>-28215.72</v>
      </c>
      <c r="AB49" s="43"/>
      <c r="AC49" s="43"/>
      <c r="AD49" s="80"/>
      <c r="AE49" s="81"/>
      <c r="AF49" s="80"/>
      <c r="AG49" s="80"/>
      <c r="AH49" s="80"/>
      <c r="AI49" s="80"/>
      <c r="AJ49" s="82"/>
      <c r="AK49" s="80"/>
      <c r="AL49" s="82"/>
    </row>
    <row r="50" spans="1:38" x14ac:dyDescent="0.2">
      <c r="A50" s="89"/>
      <c r="B50" s="90"/>
      <c r="C50" s="91"/>
      <c r="D50" s="277"/>
      <c r="E50" s="51" t="s">
        <v>4</v>
      </c>
      <c r="F50" s="35" t="str">
        <f t="shared" si="28"/>
        <v>Auto Loan 8</v>
      </c>
      <c r="G50" s="85"/>
      <c r="H50" s="85"/>
      <c r="I50" s="85"/>
      <c r="J50" s="85"/>
      <c r="K50" s="85">
        <f t="shared" ref="K50:R50" si="35">$T$50</f>
        <v>0</v>
      </c>
      <c r="L50" s="85">
        <f t="shared" si="35"/>
        <v>0</v>
      </c>
      <c r="M50" s="85">
        <f t="shared" si="35"/>
        <v>0</v>
      </c>
      <c r="N50" s="85">
        <f t="shared" si="35"/>
        <v>0</v>
      </c>
      <c r="O50" s="85">
        <f t="shared" si="35"/>
        <v>0</v>
      </c>
      <c r="P50" s="85">
        <f t="shared" si="35"/>
        <v>0</v>
      </c>
      <c r="Q50" s="85">
        <f t="shared" si="35"/>
        <v>0</v>
      </c>
      <c r="R50" s="85">
        <f t="shared" si="35"/>
        <v>0</v>
      </c>
      <c r="T50" s="53">
        <f>Variables!S10*-1</f>
        <v>0</v>
      </c>
      <c r="U50" s="54" t="str">
        <f>Variables!R10</f>
        <v>Auto Loan 8</v>
      </c>
      <c r="V50" s="131">
        <f>Variables!T10</f>
        <v>0</v>
      </c>
      <c r="W50" s="261"/>
      <c r="X50" s="131"/>
      <c r="Y50" s="43">
        <v>10</v>
      </c>
      <c r="Z50" s="43" t="str">
        <f t="shared" si="25"/>
        <v>NO</v>
      </c>
      <c r="AA50" s="44">
        <f t="shared" si="26"/>
        <v>-31350.799999999999</v>
      </c>
      <c r="AB50" s="43"/>
      <c r="AC50" s="43"/>
      <c r="AD50" s="80"/>
      <c r="AE50" s="81"/>
      <c r="AF50" s="80"/>
      <c r="AG50" s="80"/>
      <c r="AH50" s="80"/>
      <c r="AI50" s="80"/>
      <c r="AJ50" s="82"/>
      <c r="AK50" s="80"/>
      <c r="AL50" s="82"/>
    </row>
    <row r="51" spans="1:38" x14ac:dyDescent="0.2">
      <c r="A51" s="89"/>
      <c r="B51" s="90"/>
      <c r="C51" s="87"/>
      <c r="D51" s="277"/>
      <c r="E51" s="51" t="s">
        <v>4</v>
      </c>
      <c r="F51" s="35" t="str">
        <f t="shared" si="28"/>
        <v>Auto Loan 9</v>
      </c>
      <c r="G51" s="85"/>
      <c r="H51" s="85"/>
      <c r="I51" s="85"/>
      <c r="J51" s="85"/>
      <c r="K51" s="85">
        <f t="shared" ref="K51:R51" si="36">$T$51</f>
        <v>0</v>
      </c>
      <c r="L51" s="85">
        <f t="shared" si="36"/>
        <v>0</v>
      </c>
      <c r="M51" s="85">
        <f t="shared" si="36"/>
        <v>0</v>
      </c>
      <c r="N51" s="85">
        <f t="shared" si="36"/>
        <v>0</v>
      </c>
      <c r="O51" s="85">
        <f t="shared" si="36"/>
        <v>0</v>
      </c>
      <c r="P51" s="85">
        <f t="shared" si="36"/>
        <v>0</v>
      </c>
      <c r="Q51" s="85">
        <f t="shared" si="36"/>
        <v>0</v>
      </c>
      <c r="R51" s="85">
        <f t="shared" si="36"/>
        <v>0</v>
      </c>
      <c r="T51" s="53">
        <f>Variables!S11*-1</f>
        <v>0</v>
      </c>
      <c r="U51" s="54" t="str">
        <f>Variables!R11</f>
        <v>Auto Loan 9</v>
      </c>
      <c r="V51" s="131">
        <f>Variables!T11</f>
        <v>0</v>
      </c>
      <c r="W51" s="261"/>
      <c r="X51" s="131"/>
      <c r="Y51" s="43">
        <v>11</v>
      </c>
      <c r="Z51" s="43" t="str">
        <f t="shared" si="25"/>
        <v>NO</v>
      </c>
      <c r="AA51" s="44">
        <f t="shared" si="26"/>
        <v>-34485.879999999997</v>
      </c>
      <c r="AB51" s="43"/>
      <c r="AC51" s="43"/>
      <c r="AD51" s="80"/>
      <c r="AE51" s="81"/>
      <c r="AF51" s="80"/>
      <c r="AG51" s="80"/>
      <c r="AH51" s="80"/>
      <c r="AI51" s="80"/>
      <c r="AJ51" s="82"/>
      <c r="AK51" s="80"/>
      <c r="AL51" s="82"/>
    </row>
    <row r="52" spans="1:38" x14ac:dyDescent="0.2">
      <c r="A52" s="43"/>
      <c r="B52" s="43"/>
      <c r="C52" s="45"/>
      <c r="D52" s="277"/>
      <c r="E52" s="51" t="s">
        <v>4</v>
      </c>
      <c r="F52" s="35" t="str">
        <f t="shared" si="28"/>
        <v>Auto Loan 10</v>
      </c>
      <c r="G52" s="85"/>
      <c r="H52" s="85"/>
      <c r="I52" s="85"/>
      <c r="J52" s="85"/>
      <c r="K52" s="85">
        <f t="shared" ref="K52:R52" si="37">$T$52</f>
        <v>0</v>
      </c>
      <c r="L52" s="85">
        <f t="shared" si="37"/>
        <v>0</v>
      </c>
      <c r="M52" s="85">
        <f t="shared" si="37"/>
        <v>0</v>
      </c>
      <c r="N52" s="85">
        <f t="shared" si="37"/>
        <v>0</v>
      </c>
      <c r="O52" s="85">
        <f t="shared" si="37"/>
        <v>0</v>
      </c>
      <c r="P52" s="85">
        <f t="shared" si="37"/>
        <v>0</v>
      </c>
      <c r="Q52" s="85">
        <f t="shared" si="37"/>
        <v>0</v>
      </c>
      <c r="R52" s="85">
        <f t="shared" si="37"/>
        <v>0</v>
      </c>
      <c r="T52" s="53">
        <f>Variables!S12*-1</f>
        <v>0</v>
      </c>
      <c r="U52" s="54" t="str">
        <f>Variables!R12</f>
        <v>Auto Loan 10</v>
      </c>
      <c r="V52" s="131">
        <f>Variables!T12</f>
        <v>0</v>
      </c>
      <c r="W52" s="261"/>
      <c r="X52" s="131"/>
      <c r="Y52" s="43">
        <v>12</v>
      </c>
      <c r="Z52" s="43" t="str">
        <f t="shared" si="25"/>
        <v>NO</v>
      </c>
      <c r="AA52" s="44">
        <f t="shared" si="26"/>
        <v>-37620.959999999999</v>
      </c>
      <c r="AB52" s="43"/>
      <c r="AC52" s="43"/>
      <c r="AD52" s="80"/>
      <c r="AE52" s="81"/>
      <c r="AF52" s="80"/>
      <c r="AG52" s="80"/>
      <c r="AH52" s="80"/>
      <c r="AI52" s="80"/>
      <c r="AJ52" s="82"/>
      <c r="AK52" s="80"/>
      <c r="AL52" s="82"/>
    </row>
    <row r="53" spans="1:38" x14ac:dyDescent="0.2">
      <c r="A53" s="43"/>
      <c r="B53" s="43"/>
      <c r="C53" s="45"/>
      <c r="D53" s="277"/>
      <c r="E53" s="68" t="s">
        <v>6</v>
      </c>
      <c r="F53" s="35" t="str">
        <f t="shared" si="28"/>
        <v>Manual Loan 1</v>
      </c>
      <c r="G53" s="85"/>
      <c r="H53" s="85"/>
      <c r="I53" s="85"/>
      <c r="J53" s="85"/>
      <c r="K53" s="85">
        <f t="shared" ref="K53:R53" si="38">$T$53</f>
        <v>0</v>
      </c>
      <c r="L53" s="85">
        <f t="shared" si="38"/>
        <v>0</v>
      </c>
      <c r="M53" s="85">
        <f t="shared" si="38"/>
        <v>0</v>
      </c>
      <c r="N53" s="85">
        <f t="shared" si="38"/>
        <v>0</v>
      </c>
      <c r="O53" s="85">
        <f t="shared" si="38"/>
        <v>0</v>
      </c>
      <c r="P53" s="85">
        <f t="shared" si="38"/>
        <v>0</v>
      </c>
      <c r="Q53" s="85">
        <f t="shared" si="38"/>
        <v>0</v>
      </c>
      <c r="R53" s="85">
        <f t="shared" si="38"/>
        <v>0</v>
      </c>
      <c r="T53" s="53">
        <f>Variables!S14*-1</f>
        <v>0</v>
      </c>
      <c r="U53" s="54" t="str">
        <f>Variables!R14</f>
        <v>Manual Loan 1</v>
      </c>
      <c r="V53" s="131">
        <f>Variables!T14</f>
        <v>0</v>
      </c>
      <c r="W53" s="261"/>
      <c r="X53" s="131"/>
      <c r="Y53" s="43"/>
      <c r="Z53" s="43"/>
      <c r="AA53" s="43"/>
      <c r="AB53" s="43"/>
      <c r="AC53" s="43"/>
      <c r="AD53" s="80"/>
      <c r="AE53" s="81"/>
      <c r="AF53" s="80"/>
      <c r="AG53" s="80"/>
      <c r="AH53" s="80"/>
      <c r="AI53" s="80"/>
      <c r="AJ53" s="92"/>
      <c r="AK53" s="80"/>
      <c r="AL53" s="82"/>
    </row>
    <row r="54" spans="1:38" x14ac:dyDescent="0.2">
      <c r="A54" s="43"/>
      <c r="B54" s="43"/>
      <c r="C54" s="45"/>
      <c r="D54" s="277"/>
      <c r="E54" s="68" t="s">
        <v>6</v>
      </c>
      <c r="F54" s="35" t="str">
        <f t="shared" si="28"/>
        <v>Manual Loan 2</v>
      </c>
      <c r="G54" s="85"/>
      <c r="H54" s="85"/>
      <c r="I54" s="85"/>
      <c r="J54" s="85"/>
      <c r="K54" s="85">
        <f t="shared" ref="K54:R54" si="39">$T$54</f>
        <v>0</v>
      </c>
      <c r="L54" s="85">
        <f t="shared" si="39"/>
        <v>0</v>
      </c>
      <c r="M54" s="85">
        <f t="shared" si="39"/>
        <v>0</v>
      </c>
      <c r="N54" s="85">
        <f t="shared" si="39"/>
        <v>0</v>
      </c>
      <c r="O54" s="85">
        <f t="shared" si="39"/>
        <v>0</v>
      </c>
      <c r="P54" s="85">
        <f t="shared" si="39"/>
        <v>0</v>
      </c>
      <c r="Q54" s="85">
        <f t="shared" si="39"/>
        <v>0</v>
      </c>
      <c r="R54" s="85">
        <f t="shared" si="39"/>
        <v>0</v>
      </c>
      <c r="T54" s="53">
        <f>Variables!S15*-1</f>
        <v>0</v>
      </c>
      <c r="U54" s="54" t="str">
        <f>Variables!R15</f>
        <v>Manual Loan 2</v>
      </c>
      <c r="V54" s="131">
        <f>Variables!T15</f>
        <v>0</v>
      </c>
      <c r="W54" s="261"/>
      <c r="X54" s="131"/>
      <c r="Y54" s="43"/>
      <c r="Z54" s="43"/>
      <c r="AA54" s="43"/>
      <c r="AB54" s="43"/>
      <c r="AC54" s="43"/>
      <c r="AD54" s="80"/>
      <c r="AE54" s="81"/>
      <c r="AF54" s="80"/>
      <c r="AG54" s="80"/>
      <c r="AH54" s="80"/>
      <c r="AI54" s="80"/>
      <c r="AJ54" s="92"/>
      <c r="AK54" s="80"/>
      <c r="AL54" s="82"/>
    </row>
    <row r="55" spans="1:38" x14ac:dyDescent="0.2">
      <c r="A55" s="43"/>
      <c r="B55" s="43"/>
      <c r="C55" s="45"/>
      <c r="D55" s="277"/>
      <c r="E55" s="68" t="s">
        <v>6</v>
      </c>
      <c r="F55" s="35" t="str">
        <f t="shared" si="28"/>
        <v>Manual Loan 3</v>
      </c>
      <c r="G55" s="85"/>
      <c r="H55" s="85"/>
      <c r="I55" s="85"/>
      <c r="J55" s="85"/>
      <c r="K55" s="85">
        <f t="shared" ref="K55:R55" si="40">$T$55</f>
        <v>0</v>
      </c>
      <c r="L55" s="85">
        <f t="shared" si="40"/>
        <v>0</v>
      </c>
      <c r="M55" s="85">
        <f t="shared" si="40"/>
        <v>0</v>
      </c>
      <c r="N55" s="85">
        <f t="shared" si="40"/>
        <v>0</v>
      </c>
      <c r="O55" s="85">
        <f t="shared" si="40"/>
        <v>0</v>
      </c>
      <c r="P55" s="85">
        <f t="shared" si="40"/>
        <v>0</v>
      </c>
      <c r="Q55" s="85">
        <f t="shared" si="40"/>
        <v>0</v>
      </c>
      <c r="R55" s="85">
        <f t="shared" si="40"/>
        <v>0</v>
      </c>
      <c r="T55" s="53">
        <f>Variables!S16*-1</f>
        <v>0</v>
      </c>
      <c r="U55" s="54" t="str">
        <f>Variables!R16</f>
        <v>Manual Loan 3</v>
      </c>
      <c r="V55" s="131">
        <f>Variables!T16</f>
        <v>0</v>
      </c>
      <c r="W55" s="261"/>
      <c r="X55" s="131"/>
      <c r="Y55" s="43"/>
      <c r="Z55" s="43"/>
      <c r="AA55" s="43"/>
      <c r="AB55" s="43"/>
      <c r="AC55" s="43"/>
      <c r="AD55" s="80"/>
      <c r="AE55" s="81"/>
      <c r="AF55" s="80"/>
      <c r="AG55" s="80"/>
      <c r="AH55" s="80"/>
      <c r="AI55" s="80"/>
      <c r="AJ55" s="93"/>
      <c r="AK55" s="80"/>
      <c r="AL55" s="82"/>
    </row>
    <row r="56" spans="1:38" x14ac:dyDescent="0.2">
      <c r="A56" s="43"/>
      <c r="B56" s="43"/>
      <c r="C56" s="45"/>
      <c r="D56" s="277"/>
      <c r="E56" s="68" t="s">
        <v>6</v>
      </c>
      <c r="F56" s="35" t="str">
        <f t="shared" si="28"/>
        <v>Manual Loan 4</v>
      </c>
      <c r="G56" s="85"/>
      <c r="H56" s="85"/>
      <c r="I56" s="85"/>
      <c r="J56" s="85"/>
      <c r="K56" s="85">
        <f t="shared" ref="K56:R56" si="41">$T$56</f>
        <v>0</v>
      </c>
      <c r="L56" s="85">
        <f t="shared" si="41"/>
        <v>0</v>
      </c>
      <c r="M56" s="85">
        <f t="shared" si="41"/>
        <v>0</v>
      </c>
      <c r="N56" s="85">
        <f t="shared" si="41"/>
        <v>0</v>
      </c>
      <c r="O56" s="85">
        <f t="shared" si="41"/>
        <v>0</v>
      </c>
      <c r="P56" s="85">
        <f t="shared" si="41"/>
        <v>0</v>
      </c>
      <c r="Q56" s="85">
        <f t="shared" si="41"/>
        <v>0</v>
      </c>
      <c r="R56" s="85">
        <f t="shared" si="41"/>
        <v>0</v>
      </c>
      <c r="T56" s="53">
        <f>Variables!S17*-1</f>
        <v>0</v>
      </c>
      <c r="U56" s="54" t="str">
        <f>Variables!R17</f>
        <v>Manual Loan 4</v>
      </c>
      <c r="V56" s="131">
        <f>Variables!T17</f>
        <v>0</v>
      </c>
      <c r="W56" s="261"/>
      <c r="X56" s="131"/>
      <c r="Y56" s="43"/>
      <c r="Z56" s="43"/>
      <c r="AA56" s="43"/>
      <c r="AB56" s="43"/>
      <c r="AC56" s="43"/>
      <c r="AD56" s="80"/>
      <c r="AE56" s="81"/>
      <c r="AF56" s="80"/>
      <c r="AG56" s="80"/>
      <c r="AH56" s="81"/>
      <c r="AI56" s="80"/>
      <c r="AJ56" s="82"/>
      <c r="AK56" s="80"/>
      <c r="AL56" s="82"/>
    </row>
    <row r="57" spans="1:38" x14ac:dyDescent="0.2">
      <c r="A57" s="43"/>
      <c r="B57" s="43"/>
      <c r="C57" s="45"/>
      <c r="D57" s="277"/>
      <c r="E57" s="68" t="s">
        <v>6</v>
      </c>
      <c r="F57" s="35" t="str">
        <f t="shared" si="28"/>
        <v>Manual Loan 5</v>
      </c>
      <c r="G57" s="85"/>
      <c r="H57" s="85"/>
      <c r="I57" s="85"/>
      <c r="J57" s="85"/>
      <c r="K57" s="85">
        <f t="shared" ref="K57:R57" si="42">$T$57</f>
        <v>0</v>
      </c>
      <c r="L57" s="85">
        <f t="shared" si="42"/>
        <v>0</v>
      </c>
      <c r="M57" s="85">
        <f t="shared" si="42"/>
        <v>0</v>
      </c>
      <c r="N57" s="85">
        <f t="shared" si="42"/>
        <v>0</v>
      </c>
      <c r="O57" s="85">
        <f t="shared" si="42"/>
        <v>0</v>
      </c>
      <c r="P57" s="85">
        <f t="shared" si="42"/>
        <v>0</v>
      </c>
      <c r="Q57" s="85">
        <f t="shared" si="42"/>
        <v>0</v>
      </c>
      <c r="R57" s="85">
        <f t="shared" si="42"/>
        <v>0</v>
      </c>
      <c r="T57" s="53">
        <f>Variables!S18*-1</f>
        <v>0</v>
      </c>
      <c r="U57" s="54" t="str">
        <f>Variables!R18</f>
        <v>Manual Loan 5</v>
      </c>
      <c r="V57" s="131">
        <f>Variables!T18</f>
        <v>0</v>
      </c>
      <c r="W57" s="261"/>
      <c r="X57" s="131"/>
      <c r="Y57" s="43"/>
      <c r="Z57" s="43"/>
      <c r="AA57" s="43"/>
      <c r="AB57" s="43"/>
      <c r="AC57" s="43"/>
      <c r="AD57" s="80"/>
      <c r="AE57" s="81"/>
      <c r="AF57" s="80"/>
      <c r="AG57" s="80"/>
      <c r="AH57" s="81"/>
      <c r="AI57" s="80"/>
      <c r="AJ57" s="82"/>
      <c r="AK57" s="80"/>
      <c r="AL57" s="82"/>
    </row>
    <row r="58" spans="1:38" x14ac:dyDescent="0.2">
      <c r="A58" s="43"/>
      <c r="B58" s="43"/>
      <c r="C58" s="45"/>
      <c r="D58" s="277"/>
      <c r="E58" s="68" t="s">
        <v>6</v>
      </c>
      <c r="F58" s="35" t="str">
        <f t="shared" si="28"/>
        <v>Manual Loan 6</v>
      </c>
      <c r="G58" s="85"/>
      <c r="H58" s="85"/>
      <c r="I58" s="85"/>
      <c r="J58" s="85"/>
      <c r="K58" s="85">
        <f t="shared" ref="K58:R58" si="43">$T$58</f>
        <v>0</v>
      </c>
      <c r="L58" s="85">
        <f t="shared" si="43"/>
        <v>0</v>
      </c>
      <c r="M58" s="85">
        <f t="shared" si="43"/>
        <v>0</v>
      </c>
      <c r="N58" s="85">
        <f t="shared" si="43"/>
        <v>0</v>
      </c>
      <c r="O58" s="85">
        <f t="shared" si="43"/>
        <v>0</v>
      </c>
      <c r="P58" s="85">
        <f t="shared" si="43"/>
        <v>0</v>
      </c>
      <c r="Q58" s="85">
        <f t="shared" si="43"/>
        <v>0</v>
      </c>
      <c r="R58" s="85">
        <f t="shared" si="43"/>
        <v>0</v>
      </c>
      <c r="T58" s="53">
        <f>Variables!S19*-1</f>
        <v>0</v>
      </c>
      <c r="U58" s="54" t="str">
        <f>Variables!R19</f>
        <v>Manual Loan 6</v>
      </c>
      <c r="V58" s="131">
        <f>Variables!T19</f>
        <v>0</v>
      </c>
      <c r="W58" s="261"/>
      <c r="X58" s="131"/>
      <c r="Y58" s="43"/>
      <c r="Z58" s="43"/>
      <c r="AA58" s="43"/>
      <c r="AB58" s="43"/>
      <c r="AC58" s="43"/>
      <c r="AD58" s="80"/>
      <c r="AE58" s="81"/>
      <c r="AF58" s="80"/>
      <c r="AG58" s="80"/>
      <c r="AH58" s="81"/>
      <c r="AI58" s="80"/>
      <c r="AJ58" s="82"/>
      <c r="AK58" s="80"/>
      <c r="AL58" s="82"/>
    </row>
    <row r="59" spans="1:38" x14ac:dyDescent="0.2">
      <c r="A59" s="43"/>
      <c r="B59" s="43"/>
      <c r="C59" s="45"/>
      <c r="D59" s="277"/>
      <c r="E59" s="68" t="s">
        <v>6</v>
      </c>
      <c r="F59" s="35" t="str">
        <f t="shared" si="28"/>
        <v>Manual Loan 7</v>
      </c>
      <c r="G59" s="85"/>
      <c r="H59" s="85"/>
      <c r="I59" s="85"/>
      <c r="J59" s="85"/>
      <c r="K59" s="85">
        <f t="shared" ref="K59:R59" si="44">$T$59</f>
        <v>0</v>
      </c>
      <c r="L59" s="85">
        <f t="shared" si="44"/>
        <v>0</v>
      </c>
      <c r="M59" s="85">
        <f t="shared" si="44"/>
        <v>0</v>
      </c>
      <c r="N59" s="85">
        <f t="shared" si="44"/>
        <v>0</v>
      </c>
      <c r="O59" s="85">
        <f t="shared" si="44"/>
        <v>0</v>
      </c>
      <c r="P59" s="85">
        <f t="shared" si="44"/>
        <v>0</v>
      </c>
      <c r="Q59" s="85">
        <f t="shared" si="44"/>
        <v>0</v>
      </c>
      <c r="R59" s="85">
        <f t="shared" si="44"/>
        <v>0</v>
      </c>
      <c r="T59" s="53">
        <f>Variables!S20*-1</f>
        <v>0</v>
      </c>
      <c r="U59" s="54" t="str">
        <f>Variables!R20</f>
        <v>Manual Loan 7</v>
      </c>
      <c r="V59" s="131">
        <f>Variables!T20</f>
        <v>0</v>
      </c>
      <c r="W59" s="261"/>
      <c r="X59" s="131"/>
      <c r="Y59" s="43"/>
      <c r="Z59" s="43"/>
      <c r="AA59" s="43"/>
      <c r="AB59" s="43"/>
      <c r="AC59" s="43"/>
      <c r="AD59" s="80"/>
      <c r="AE59" s="81"/>
      <c r="AF59" s="80"/>
      <c r="AG59" s="80"/>
      <c r="AH59" s="81"/>
      <c r="AI59" s="80"/>
      <c r="AJ59" s="82"/>
      <c r="AK59" s="80"/>
      <c r="AL59" s="82"/>
    </row>
    <row r="60" spans="1:38" x14ac:dyDescent="0.2">
      <c r="A60" s="43"/>
      <c r="B60" s="43"/>
      <c r="C60" s="45"/>
      <c r="D60" s="277"/>
      <c r="E60" s="68" t="s">
        <v>6</v>
      </c>
      <c r="F60" s="35" t="str">
        <f t="shared" si="28"/>
        <v>Manual Loan 8</v>
      </c>
      <c r="G60" s="85"/>
      <c r="H60" s="85"/>
      <c r="I60" s="85"/>
      <c r="J60" s="85"/>
      <c r="K60" s="85">
        <f t="shared" ref="K60:R60" si="45">$T$60</f>
        <v>0</v>
      </c>
      <c r="L60" s="85">
        <f t="shared" si="45"/>
        <v>0</v>
      </c>
      <c r="M60" s="85">
        <f t="shared" si="45"/>
        <v>0</v>
      </c>
      <c r="N60" s="85">
        <f t="shared" si="45"/>
        <v>0</v>
      </c>
      <c r="O60" s="85">
        <f t="shared" si="45"/>
        <v>0</v>
      </c>
      <c r="P60" s="85">
        <f t="shared" si="45"/>
        <v>0</v>
      </c>
      <c r="Q60" s="85">
        <f t="shared" si="45"/>
        <v>0</v>
      </c>
      <c r="R60" s="85">
        <f t="shared" si="45"/>
        <v>0</v>
      </c>
      <c r="T60" s="53">
        <f>Variables!S21*-1</f>
        <v>0</v>
      </c>
      <c r="U60" s="54" t="str">
        <f>Variables!R21</f>
        <v>Manual Loan 8</v>
      </c>
      <c r="V60" s="131">
        <f>Variables!T21</f>
        <v>0</v>
      </c>
      <c r="W60" s="261"/>
      <c r="X60" s="131"/>
      <c r="Y60" s="43"/>
      <c r="Z60" s="43"/>
      <c r="AA60" s="43"/>
      <c r="AB60" s="43"/>
      <c r="AC60" s="43"/>
      <c r="AD60" s="80"/>
      <c r="AE60" s="81"/>
      <c r="AF60" s="80"/>
      <c r="AG60" s="80"/>
      <c r="AH60" s="81"/>
      <c r="AI60" s="80"/>
      <c r="AJ60" s="82"/>
      <c r="AK60" s="80"/>
      <c r="AL60" s="82"/>
    </row>
    <row r="61" spans="1:38" x14ac:dyDescent="0.2">
      <c r="A61" s="43"/>
      <c r="B61" s="43"/>
      <c r="C61" s="45"/>
      <c r="D61" s="277"/>
      <c r="E61" s="68" t="s">
        <v>6</v>
      </c>
      <c r="F61" s="35" t="str">
        <f t="shared" si="28"/>
        <v>Manual Loan 9</v>
      </c>
      <c r="G61" s="85"/>
      <c r="H61" s="85"/>
      <c r="I61" s="85"/>
      <c r="J61" s="85"/>
      <c r="K61" s="85">
        <f t="shared" ref="K61:R61" si="46">$T$61</f>
        <v>0</v>
      </c>
      <c r="L61" s="85">
        <f t="shared" si="46"/>
        <v>0</v>
      </c>
      <c r="M61" s="85">
        <f t="shared" si="46"/>
        <v>0</v>
      </c>
      <c r="N61" s="85">
        <f t="shared" si="46"/>
        <v>0</v>
      </c>
      <c r="O61" s="85">
        <f t="shared" si="46"/>
        <v>0</v>
      </c>
      <c r="P61" s="85">
        <f t="shared" si="46"/>
        <v>0</v>
      </c>
      <c r="Q61" s="85">
        <f t="shared" si="46"/>
        <v>0</v>
      </c>
      <c r="R61" s="85">
        <f t="shared" si="46"/>
        <v>0</v>
      </c>
      <c r="T61" s="53">
        <f>Variables!S22*-1</f>
        <v>0</v>
      </c>
      <c r="U61" s="54" t="str">
        <f>Variables!R22</f>
        <v>Manual Loan 9</v>
      </c>
      <c r="V61" s="131">
        <f>Variables!T22</f>
        <v>0</v>
      </c>
      <c r="W61" s="261"/>
      <c r="X61" s="131"/>
      <c r="Y61" s="43"/>
      <c r="Z61" s="43"/>
      <c r="AA61" s="43"/>
      <c r="AB61" s="43"/>
      <c r="AC61" s="43"/>
      <c r="AD61" s="80"/>
      <c r="AE61" s="81"/>
      <c r="AF61" s="80"/>
      <c r="AG61" s="80"/>
      <c r="AH61" s="81"/>
      <c r="AI61" s="80"/>
      <c r="AJ61" s="82"/>
      <c r="AK61" s="80"/>
      <c r="AL61" s="82"/>
    </row>
    <row r="62" spans="1:38" x14ac:dyDescent="0.2">
      <c r="A62" s="43"/>
      <c r="B62" s="43"/>
      <c r="C62" s="45"/>
      <c r="D62" s="278"/>
      <c r="E62" s="68" t="s">
        <v>6</v>
      </c>
      <c r="F62" s="35" t="str">
        <f t="shared" si="28"/>
        <v>Manual Loan 10</v>
      </c>
      <c r="G62" s="85"/>
      <c r="H62" s="85"/>
      <c r="I62" s="85"/>
      <c r="J62" s="85"/>
      <c r="K62" s="85">
        <f t="shared" ref="K62:R62" si="47">$T$62</f>
        <v>0</v>
      </c>
      <c r="L62" s="85">
        <f t="shared" si="47"/>
        <v>0</v>
      </c>
      <c r="M62" s="85">
        <f t="shared" si="47"/>
        <v>0</v>
      </c>
      <c r="N62" s="85">
        <f t="shared" si="47"/>
        <v>0</v>
      </c>
      <c r="O62" s="85">
        <f t="shared" si="47"/>
        <v>0</v>
      </c>
      <c r="P62" s="85">
        <f t="shared" si="47"/>
        <v>0</v>
      </c>
      <c r="Q62" s="85">
        <f t="shared" si="47"/>
        <v>0</v>
      </c>
      <c r="R62" s="85">
        <f t="shared" si="47"/>
        <v>0</v>
      </c>
      <c r="T62" s="53">
        <f>Variables!S23*-1</f>
        <v>0</v>
      </c>
      <c r="U62" s="54" t="str">
        <f>Variables!R23</f>
        <v>Manual Loan 10</v>
      </c>
      <c r="V62" s="131">
        <f>Variables!T23</f>
        <v>0</v>
      </c>
      <c r="W62" s="262"/>
      <c r="X62" s="131"/>
      <c r="Y62" s="43"/>
      <c r="AA62" s="43"/>
      <c r="AB62" s="43"/>
      <c r="AC62" s="43"/>
      <c r="AD62" s="80"/>
      <c r="AE62" s="81"/>
      <c r="AF62" s="80"/>
      <c r="AG62" s="80"/>
      <c r="AH62" s="81"/>
      <c r="AI62" s="80"/>
      <c r="AJ62" s="82"/>
      <c r="AK62" s="80"/>
      <c r="AL62" s="82"/>
    </row>
    <row r="63" spans="1:38" x14ac:dyDescent="0.2">
      <c r="A63" s="43"/>
      <c r="B63" s="43"/>
      <c r="C63" s="45"/>
      <c r="D63" s="279" t="s">
        <v>247</v>
      </c>
      <c r="E63" s="68" t="s">
        <v>6</v>
      </c>
      <c r="F63" s="3" t="str">
        <f>U63</f>
        <v>Visa</v>
      </c>
      <c r="G63" s="94"/>
      <c r="H63" s="94"/>
      <c r="I63" s="94"/>
      <c r="J63" s="94"/>
      <c r="K63" s="94">
        <v>-175</v>
      </c>
      <c r="L63" s="94"/>
      <c r="M63" s="94"/>
      <c r="N63" s="94"/>
      <c r="O63" s="94"/>
      <c r="P63" s="94"/>
      <c r="Q63" s="94"/>
      <c r="R63" s="94"/>
      <c r="S63" s="43"/>
      <c r="T63" s="69" t="s">
        <v>205</v>
      </c>
      <c r="U63" s="44" t="str">
        <f>Variables!J26</f>
        <v>Visa</v>
      </c>
      <c r="V63" s="131" t="str">
        <f>Variables!L26</f>
        <v>1st</v>
      </c>
      <c r="W63" s="263" t="s">
        <v>247</v>
      </c>
      <c r="X63" s="131"/>
      <c r="Y63" s="43"/>
      <c r="Z63" s="43"/>
      <c r="AA63" s="43"/>
      <c r="AB63" s="43"/>
      <c r="AC63" s="43"/>
      <c r="AD63" s="80"/>
      <c r="AE63" s="81"/>
      <c r="AF63" s="80"/>
      <c r="AG63" s="80"/>
      <c r="AH63" s="81"/>
      <c r="AI63" s="80"/>
      <c r="AJ63" s="82"/>
      <c r="AK63" s="80"/>
      <c r="AL63" s="82"/>
    </row>
    <row r="64" spans="1:38" x14ac:dyDescent="0.2">
      <c r="A64" s="43"/>
      <c r="B64" s="43"/>
      <c r="C64" s="45"/>
      <c r="D64" s="280"/>
      <c r="E64" s="68" t="s">
        <v>6</v>
      </c>
      <c r="F64" s="3" t="str">
        <f t="shared" ref="F64:F72" si="48">U64</f>
        <v>Discover</v>
      </c>
      <c r="G64" s="94"/>
      <c r="H64" s="94"/>
      <c r="I64" s="94"/>
      <c r="J64" s="94"/>
      <c r="K64" s="94">
        <v>-250</v>
      </c>
      <c r="L64" s="94"/>
      <c r="M64" s="94"/>
      <c r="N64" s="94"/>
      <c r="O64" s="94"/>
      <c r="P64" s="94"/>
      <c r="Q64" s="94"/>
      <c r="R64" s="94"/>
      <c r="S64" s="43"/>
      <c r="T64" s="69" t="s">
        <v>205</v>
      </c>
      <c r="U64" s="44" t="str">
        <f>Variables!J27</f>
        <v>Discover</v>
      </c>
      <c r="V64" s="131" t="str">
        <f>Variables!L27</f>
        <v>15th</v>
      </c>
      <c r="W64" s="264"/>
      <c r="X64" s="131"/>
      <c r="Y64" s="43"/>
      <c r="Z64" s="43"/>
      <c r="AA64" s="43"/>
      <c r="AB64" s="43"/>
      <c r="AC64" s="43"/>
      <c r="AD64" s="80"/>
      <c r="AE64" s="81"/>
      <c r="AF64" s="80"/>
      <c r="AG64" s="80"/>
      <c r="AH64" s="81"/>
      <c r="AI64" s="80"/>
      <c r="AJ64" s="82"/>
      <c r="AK64" s="80"/>
      <c r="AL64" s="82"/>
    </row>
    <row r="65" spans="1:38" x14ac:dyDescent="0.2">
      <c r="A65" s="43"/>
      <c r="B65" s="43"/>
      <c r="C65" s="45"/>
      <c r="D65" s="280"/>
      <c r="E65" s="68" t="s">
        <v>6</v>
      </c>
      <c r="F65" s="3" t="str">
        <f t="shared" si="48"/>
        <v>AmEx</v>
      </c>
      <c r="G65" s="94"/>
      <c r="H65" s="94"/>
      <c r="I65" s="94"/>
      <c r="J65" s="94"/>
      <c r="K65" s="94">
        <v>-55</v>
      </c>
      <c r="L65" s="94"/>
      <c r="M65" s="94"/>
      <c r="N65" s="94"/>
      <c r="O65" s="94"/>
      <c r="P65" s="94"/>
      <c r="Q65" s="94"/>
      <c r="R65" s="94"/>
      <c r="S65" s="43"/>
      <c r="T65" s="69" t="s">
        <v>205</v>
      </c>
      <c r="U65" s="44" t="str">
        <f>Variables!J28</f>
        <v>AmEx</v>
      </c>
      <c r="V65" s="131" t="str">
        <f>Variables!L28</f>
        <v>15th</v>
      </c>
      <c r="W65" s="264"/>
      <c r="X65" s="131"/>
      <c r="Y65" s="43"/>
      <c r="Z65" s="43"/>
      <c r="AA65" s="43"/>
      <c r="AB65" s="43"/>
      <c r="AD65" s="80"/>
      <c r="AE65" s="81"/>
      <c r="AF65" s="80"/>
      <c r="AG65" s="80"/>
      <c r="AH65" s="81"/>
      <c r="AI65" s="80"/>
      <c r="AJ65" s="82"/>
      <c r="AK65" s="80"/>
      <c r="AL65" s="82"/>
    </row>
    <row r="66" spans="1:38" x14ac:dyDescent="0.2">
      <c r="A66" s="43"/>
      <c r="B66" s="43"/>
      <c r="C66" s="45"/>
      <c r="D66" s="280"/>
      <c r="E66" s="68" t="s">
        <v>6</v>
      </c>
      <c r="F66" s="3" t="str">
        <f t="shared" si="48"/>
        <v>Chase</v>
      </c>
      <c r="G66" s="94"/>
      <c r="H66" s="94"/>
      <c r="I66" s="94"/>
      <c r="J66" s="94"/>
      <c r="K66" s="94">
        <v>-320</v>
      </c>
      <c r="L66" s="94">
        <v>-320</v>
      </c>
      <c r="M66" s="94">
        <v>-320</v>
      </c>
      <c r="N66" s="94">
        <v>-320</v>
      </c>
      <c r="O66" s="94">
        <v>-320</v>
      </c>
      <c r="P66" s="94">
        <v>-320</v>
      </c>
      <c r="Q66" s="94">
        <v>-320</v>
      </c>
      <c r="R66" s="94"/>
      <c r="S66" s="43"/>
      <c r="T66" s="69" t="s">
        <v>205</v>
      </c>
      <c r="U66" s="44" t="str">
        <f>Variables!J29</f>
        <v>Chase</v>
      </c>
      <c r="V66" s="131" t="str">
        <f>Variables!L29</f>
        <v>3rd</v>
      </c>
      <c r="W66" s="264"/>
      <c r="X66" s="131"/>
      <c r="Y66" s="43"/>
      <c r="Z66" s="43"/>
      <c r="AA66" s="43"/>
      <c r="AB66" s="43"/>
      <c r="AD66" s="80"/>
      <c r="AE66" s="81"/>
      <c r="AF66" s="80"/>
      <c r="AG66" s="80"/>
      <c r="AH66" s="81"/>
      <c r="AI66" s="80"/>
      <c r="AJ66" s="82"/>
      <c r="AK66" s="80"/>
      <c r="AL66" s="82"/>
    </row>
    <row r="67" spans="1:38" x14ac:dyDescent="0.2">
      <c r="A67" s="43"/>
      <c r="B67" s="43"/>
      <c r="C67" s="45"/>
      <c r="D67" s="280"/>
      <c r="E67" s="68" t="s">
        <v>6</v>
      </c>
      <c r="F67" s="3" t="str">
        <f t="shared" si="48"/>
        <v>Credit Card 5</v>
      </c>
      <c r="G67" s="94"/>
      <c r="H67" s="94"/>
      <c r="I67" s="94"/>
      <c r="J67" s="94"/>
      <c r="K67" s="94"/>
      <c r="L67" s="94"/>
      <c r="M67" s="94"/>
      <c r="N67" s="94"/>
      <c r="O67" s="94"/>
      <c r="P67" s="94"/>
      <c r="Q67" s="94"/>
      <c r="R67" s="94"/>
      <c r="S67" s="43"/>
      <c r="T67" s="69" t="s">
        <v>205</v>
      </c>
      <c r="U67" s="44" t="str">
        <f>Variables!J30</f>
        <v>Credit Card 5</v>
      </c>
      <c r="V67" s="131">
        <f>Variables!L30</f>
        <v>0</v>
      </c>
      <c r="W67" s="264"/>
      <c r="X67" s="131"/>
      <c r="Y67" s="43"/>
      <c r="Z67" s="43"/>
      <c r="AA67" s="43"/>
      <c r="AB67" s="43"/>
      <c r="AD67" s="80"/>
      <c r="AE67" s="81"/>
      <c r="AF67" s="80"/>
      <c r="AG67" s="80"/>
      <c r="AH67" s="81"/>
      <c r="AI67" s="80"/>
      <c r="AJ67" s="82"/>
      <c r="AK67" s="80"/>
      <c r="AL67" s="82"/>
    </row>
    <row r="68" spans="1:38" x14ac:dyDescent="0.2">
      <c r="A68" s="43"/>
      <c r="B68" s="43"/>
      <c r="C68" s="45"/>
      <c r="D68" s="280"/>
      <c r="E68" s="68" t="s">
        <v>6</v>
      </c>
      <c r="F68" s="3" t="str">
        <f t="shared" si="48"/>
        <v>Credit Card 6</v>
      </c>
      <c r="G68" s="94"/>
      <c r="H68" s="94"/>
      <c r="I68" s="94"/>
      <c r="J68" s="94"/>
      <c r="K68" s="94"/>
      <c r="L68" s="94"/>
      <c r="M68" s="94"/>
      <c r="N68" s="94"/>
      <c r="O68" s="94"/>
      <c r="P68" s="94"/>
      <c r="Q68" s="94"/>
      <c r="R68" s="94"/>
      <c r="S68" s="43"/>
      <c r="T68" s="69" t="s">
        <v>205</v>
      </c>
      <c r="U68" s="44" t="str">
        <f>Variables!J31</f>
        <v>Credit Card 6</v>
      </c>
      <c r="V68" s="131">
        <f>Variables!L31</f>
        <v>0</v>
      </c>
      <c r="W68" s="264"/>
      <c r="X68" s="131"/>
      <c r="Y68" s="43"/>
      <c r="Z68" s="43"/>
      <c r="AA68" s="43"/>
      <c r="AB68" s="43"/>
      <c r="AD68" s="80"/>
      <c r="AE68" s="81"/>
      <c r="AF68" s="80"/>
      <c r="AG68" s="80"/>
      <c r="AH68" s="81"/>
      <c r="AI68" s="80"/>
      <c r="AJ68" s="82"/>
      <c r="AK68" s="80"/>
      <c r="AL68" s="82"/>
    </row>
    <row r="69" spans="1:38" x14ac:dyDescent="0.2">
      <c r="A69" s="43"/>
      <c r="B69" s="43"/>
      <c r="C69" s="45"/>
      <c r="D69" s="280"/>
      <c r="E69" s="68" t="s">
        <v>6</v>
      </c>
      <c r="F69" s="3" t="str">
        <f t="shared" si="48"/>
        <v>Credit Card 7</v>
      </c>
      <c r="G69" s="94"/>
      <c r="H69" s="94"/>
      <c r="I69" s="94"/>
      <c r="J69" s="94"/>
      <c r="K69" s="94"/>
      <c r="L69" s="94"/>
      <c r="M69" s="94"/>
      <c r="N69" s="94"/>
      <c r="O69" s="94"/>
      <c r="P69" s="94"/>
      <c r="Q69" s="94"/>
      <c r="R69" s="94"/>
      <c r="T69" s="69" t="s">
        <v>205</v>
      </c>
      <c r="U69" s="44" t="str">
        <f>Variables!J32</f>
        <v>Credit Card 7</v>
      </c>
      <c r="V69" s="131">
        <f>Variables!L32</f>
        <v>0</v>
      </c>
      <c r="W69" s="264"/>
      <c r="X69" s="131"/>
      <c r="Y69" s="43"/>
      <c r="Z69" s="43"/>
      <c r="AA69" s="43"/>
      <c r="AB69" s="43"/>
      <c r="AD69" s="80"/>
      <c r="AE69" s="81"/>
      <c r="AF69" s="80"/>
      <c r="AG69" s="80"/>
      <c r="AH69" s="81"/>
      <c r="AI69" s="80"/>
      <c r="AJ69" s="82"/>
      <c r="AK69" s="80"/>
      <c r="AL69" s="82"/>
    </row>
    <row r="70" spans="1:38" x14ac:dyDescent="0.2">
      <c r="A70" s="43"/>
      <c r="B70" s="43"/>
      <c r="C70" s="45"/>
      <c r="D70" s="280"/>
      <c r="E70" s="68" t="s">
        <v>6</v>
      </c>
      <c r="F70" s="3" t="str">
        <f t="shared" si="48"/>
        <v>Credit Card 8</v>
      </c>
      <c r="G70" s="94"/>
      <c r="H70" s="94"/>
      <c r="I70" s="94"/>
      <c r="J70" s="94"/>
      <c r="K70" s="94"/>
      <c r="L70" s="94"/>
      <c r="M70" s="94"/>
      <c r="N70" s="94"/>
      <c r="O70" s="94"/>
      <c r="P70" s="94"/>
      <c r="Q70" s="94"/>
      <c r="R70" s="94"/>
      <c r="T70" s="69" t="s">
        <v>205</v>
      </c>
      <c r="U70" s="44" t="str">
        <f>Variables!J33</f>
        <v>Credit Card 8</v>
      </c>
      <c r="V70" s="131">
        <f>Variables!L33</f>
        <v>0</v>
      </c>
      <c r="W70" s="264"/>
      <c r="X70" s="131"/>
      <c r="Y70" s="43"/>
      <c r="Z70" s="43"/>
      <c r="AA70" s="43"/>
      <c r="AB70" s="43"/>
      <c r="AD70" s="80"/>
      <c r="AE70" s="81"/>
      <c r="AF70" s="80"/>
      <c r="AG70" s="80"/>
      <c r="AH70" s="81"/>
      <c r="AI70" s="80"/>
      <c r="AJ70" s="82"/>
      <c r="AK70" s="80"/>
      <c r="AL70" s="82"/>
    </row>
    <row r="71" spans="1:38" x14ac:dyDescent="0.2">
      <c r="A71" s="43"/>
      <c r="B71" s="43"/>
      <c r="C71" s="45"/>
      <c r="D71" s="280"/>
      <c r="E71" s="68" t="s">
        <v>6</v>
      </c>
      <c r="F71" s="3" t="str">
        <f t="shared" si="48"/>
        <v>Credit Card 9</v>
      </c>
      <c r="G71" s="94"/>
      <c r="H71" s="94"/>
      <c r="I71" s="94"/>
      <c r="J71" s="94"/>
      <c r="K71" s="94"/>
      <c r="L71" s="94"/>
      <c r="M71" s="94"/>
      <c r="N71" s="94"/>
      <c r="O71" s="94"/>
      <c r="P71" s="94"/>
      <c r="Q71" s="94"/>
      <c r="R71" s="94"/>
      <c r="T71" s="69" t="s">
        <v>205</v>
      </c>
      <c r="U71" s="44" t="str">
        <f>Variables!J34</f>
        <v>Credit Card 9</v>
      </c>
      <c r="V71" s="131">
        <f>Variables!L34</f>
        <v>0</v>
      </c>
      <c r="W71" s="264"/>
      <c r="X71" s="131"/>
      <c r="Y71" s="43"/>
      <c r="Z71" s="43"/>
      <c r="AA71" s="43"/>
      <c r="AB71" s="43"/>
      <c r="AD71" s="80"/>
      <c r="AE71" s="81"/>
      <c r="AF71" s="80"/>
      <c r="AG71" s="80"/>
      <c r="AH71" s="81"/>
      <c r="AI71" s="80"/>
      <c r="AJ71" s="82"/>
      <c r="AK71" s="80"/>
      <c r="AL71" s="82"/>
    </row>
    <row r="72" spans="1:38" x14ac:dyDescent="0.2">
      <c r="A72" s="43"/>
      <c r="B72" s="43"/>
      <c r="C72" s="45"/>
      <c r="D72" s="281"/>
      <c r="E72" s="68" t="s">
        <v>6</v>
      </c>
      <c r="F72" s="3" t="str">
        <f t="shared" si="48"/>
        <v>Credit Card 10</v>
      </c>
      <c r="G72" s="94"/>
      <c r="H72" s="94"/>
      <c r="I72" s="94"/>
      <c r="J72" s="94"/>
      <c r="K72" s="94"/>
      <c r="L72" s="94"/>
      <c r="M72" s="94"/>
      <c r="N72" s="94"/>
      <c r="O72" s="94"/>
      <c r="P72" s="94"/>
      <c r="Q72" s="94"/>
      <c r="R72" s="94"/>
      <c r="T72" s="69" t="s">
        <v>205</v>
      </c>
      <c r="U72" s="44" t="str">
        <f>Variables!J35</f>
        <v>Credit Card 10</v>
      </c>
      <c r="V72" s="131">
        <f>Variables!L35</f>
        <v>0</v>
      </c>
      <c r="W72" s="265"/>
      <c r="X72" s="131"/>
      <c r="Y72" s="43"/>
      <c r="Z72" s="43"/>
      <c r="AA72" s="43"/>
      <c r="AB72" s="50"/>
      <c r="AD72" s="80"/>
      <c r="AE72" s="81"/>
      <c r="AF72" s="80"/>
      <c r="AG72" s="80"/>
      <c r="AH72" s="81"/>
      <c r="AI72" s="80"/>
      <c r="AJ72" s="82"/>
      <c r="AK72" s="80"/>
      <c r="AL72" s="82"/>
    </row>
    <row r="73" spans="1:38" x14ac:dyDescent="0.2">
      <c r="A73" s="43"/>
      <c r="B73" s="43"/>
      <c r="C73" s="45"/>
      <c r="D73" s="288" t="str">
        <f>Variables!$V$2</f>
        <v>Car Payment</v>
      </c>
      <c r="E73" s="51" t="s">
        <v>4</v>
      </c>
      <c r="F73" s="36" t="str">
        <f>U73</f>
        <v>Car Loan</v>
      </c>
      <c r="G73" s="96"/>
      <c r="H73" s="96"/>
      <c r="I73" s="96"/>
      <c r="J73" s="96"/>
      <c r="K73" s="96">
        <f t="shared" ref="K73:R73" si="49">$T$73</f>
        <v>-425</v>
      </c>
      <c r="L73" s="96">
        <f t="shared" si="49"/>
        <v>-425</v>
      </c>
      <c r="M73" s="96">
        <f t="shared" si="49"/>
        <v>-425</v>
      </c>
      <c r="N73" s="96">
        <f t="shared" si="49"/>
        <v>-425</v>
      </c>
      <c r="O73" s="96">
        <f t="shared" si="49"/>
        <v>-425</v>
      </c>
      <c r="P73" s="96">
        <f t="shared" si="49"/>
        <v>-425</v>
      </c>
      <c r="Q73" s="96">
        <f t="shared" si="49"/>
        <v>-425</v>
      </c>
      <c r="R73" s="96">
        <f t="shared" si="49"/>
        <v>-425</v>
      </c>
      <c r="S73" s="43"/>
      <c r="T73" s="53">
        <f>Variables!W3*-1</f>
        <v>-425</v>
      </c>
      <c r="U73" s="54" t="str">
        <f>Variables!V3</f>
        <v>Car Loan</v>
      </c>
      <c r="V73" s="131">
        <f>Variables!X3</f>
        <v>0</v>
      </c>
      <c r="W73" s="266" t="str">
        <f>Variables!$V$2</f>
        <v>Car Payment</v>
      </c>
      <c r="X73" s="131"/>
      <c r="Y73" s="43"/>
      <c r="Z73" s="43"/>
      <c r="AA73" s="43"/>
      <c r="AB73" s="43"/>
      <c r="AD73" s="80"/>
      <c r="AE73" s="81"/>
      <c r="AF73" s="80"/>
      <c r="AG73" s="80"/>
      <c r="AH73" s="81"/>
      <c r="AI73" s="80"/>
      <c r="AJ73" s="82"/>
      <c r="AK73" s="80"/>
      <c r="AL73" s="82"/>
    </row>
    <row r="74" spans="1:38" x14ac:dyDescent="0.2">
      <c r="A74" s="43"/>
      <c r="B74" s="43"/>
      <c r="C74" s="45"/>
      <c r="D74" s="289"/>
      <c r="E74" s="51" t="s">
        <v>4</v>
      </c>
      <c r="F74" s="36" t="str">
        <f t="shared" ref="F74:F92" si="50">U74</f>
        <v>Auto Car 2</v>
      </c>
      <c r="G74" s="96"/>
      <c r="H74" s="96"/>
      <c r="I74" s="96"/>
      <c r="J74" s="96"/>
      <c r="K74" s="96">
        <f t="shared" ref="K74:Q74" si="51">$T$74</f>
        <v>0</v>
      </c>
      <c r="L74" s="96">
        <f t="shared" si="51"/>
        <v>0</v>
      </c>
      <c r="M74" s="96">
        <f t="shared" si="51"/>
        <v>0</v>
      </c>
      <c r="N74" s="96">
        <f t="shared" si="51"/>
        <v>0</v>
      </c>
      <c r="O74" s="96">
        <f t="shared" si="51"/>
        <v>0</v>
      </c>
      <c r="P74" s="96">
        <f t="shared" si="51"/>
        <v>0</v>
      </c>
      <c r="Q74" s="96">
        <f t="shared" si="51"/>
        <v>0</v>
      </c>
      <c r="R74" s="96">
        <f>$T$74</f>
        <v>0</v>
      </c>
      <c r="T74" s="53">
        <f>Variables!W4*-1</f>
        <v>0</v>
      </c>
      <c r="U74" s="54" t="str">
        <f>Variables!V4</f>
        <v>Auto Car 2</v>
      </c>
      <c r="V74" s="131">
        <f>Variables!X4</f>
        <v>0</v>
      </c>
      <c r="W74" s="267"/>
      <c r="X74" s="131"/>
      <c r="Y74" s="43"/>
      <c r="Z74" s="43"/>
      <c r="AA74" s="43"/>
      <c r="AB74" s="43"/>
      <c r="AD74" s="80"/>
      <c r="AE74" s="81"/>
      <c r="AF74" s="80"/>
      <c r="AG74" s="80"/>
      <c r="AH74" s="81"/>
      <c r="AI74" s="80"/>
      <c r="AJ74" s="82"/>
      <c r="AK74" s="80"/>
      <c r="AL74" s="82"/>
    </row>
    <row r="75" spans="1:38" x14ac:dyDescent="0.2">
      <c r="D75" s="289"/>
      <c r="E75" s="51" t="s">
        <v>4</v>
      </c>
      <c r="F75" s="36" t="str">
        <f t="shared" si="50"/>
        <v>Auto Car 3</v>
      </c>
      <c r="G75" s="96"/>
      <c r="H75" s="96"/>
      <c r="I75" s="96"/>
      <c r="J75" s="96"/>
      <c r="K75" s="96">
        <f t="shared" ref="K75:Q75" si="52">$T$75</f>
        <v>0</v>
      </c>
      <c r="L75" s="96">
        <f t="shared" si="52"/>
        <v>0</v>
      </c>
      <c r="M75" s="96">
        <f t="shared" si="52"/>
        <v>0</v>
      </c>
      <c r="N75" s="96">
        <f t="shared" si="52"/>
        <v>0</v>
      </c>
      <c r="O75" s="96">
        <f t="shared" si="52"/>
        <v>0</v>
      </c>
      <c r="P75" s="96">
        <f t="shared" si="52"/>
        <v>0</v>
      </c>
      <c r="Q75" s="96">
        <f t="shared" si="52"/>
        <v>0</v>
      </c>
      <c r="R75" s="96">
        <f>$T$75</f>
        <v>0</v>
      </c>
      <c r="T75" s="53">
        <f>Variables!W5*-1</f>
        <v>0</v>
      </c>
      <c r="U75" s="54" t="str">
        <f>Variables!V5</f>
        <v>Auto Car 3</v>
      </c>
      <c r="V75" s="131">
        <f>Variables!X5</f>
        <v>0</v>
      </c>
      <c r="W75" s="267"/>
      <c r="X75" s="131"/>
      <c r="AD75" s="80"/>
      <c r="AE75" s="81"/>
      <c r="AF75" s="80"/>
      <c r="AG75" s="80"/>
      <c r="AH75" s="81"/>
      <c r="AI75" s="80"/>
      <c r="AJ75" s="82"/>
      <c r="AK75" s="80"/>
      <c r="AL75" s="82"/>
    </row>
    <row r="76" spans="1:38" x14ac:dyDescent="0.2">
      <c r="A76" s="43"/>
      <c r="B76" s="43"/>
      <c r="C76" s="45"/>
      <c r="D76" s="289"/>
      <c r="E76" s="51" t="s">
        <v>4</v>
      </c>
      <c r="F76" s="36" t="str">
        <f t="shared" si="50"/>
        <v>Auto Car 4</v>
      </c>
      <c r="G76" s="96"/>
      <c r="H76" s="96"/>
      <c r="I76" s="96"/>
      <c r="J76" s="96"/>
      <c r="K76" s="96">
        <f t="shared" ref="K76:Q76" si="53">$T$76</f>
        <v>0</v>
      </c>
      <c r="L76" s="96">
        <f t="shared" si="53"/>
        <v>0</v>
      </c>
      <c r="M76" s="96">
        <f t="shared" si="53"/>
        <v>0</v>
      </c>
      <c r="N76" s="96">
        <f t="shared" si="53"/>
        <v>0</v>
      </c>
      <c r="O76" s="96">
        <f t="shared" si="53"/>
        <v>0</v>
      </c>
      <c r="P76" s="96">
        <f t="shared" si="53"/>
        <v>0</v>
      </c>
      <c r="Q76" s="96">
        <f t="shared" si="53"/>
        <v>0</v>
      </c>
      <c r="R76" s="96">
        <f>$T$76</f>
        <v>0</v>
      </c>
      <c r="T76" s="53">
        <f>Variables!W6*-1</f>
        <v>0</v>
      </c>
      <c r="U76" s="54" t="str">
        <f>Variables!V6</f>
        <v>Auto Car 4</v>
      </c>
      <c r="V76" s="131">
        <f>Variables!X6</f>
        <v>0</v>
      </c>
      <c r="W76" s="267"/>
      <c r="X76" s="131"/>
      <c r="Y76" s="43"/>
      <c r="Z76" s="43"/>
      <c r="AA76" s="43"/>
      <c r="AB76" s="43"/>
      <c r="AD76" s="80"/>
      <c r="AE76" s="81"/>
      <c r="AF76" s="80"/>
      <c r="AG76" s="80"/>
      <c r="AH76" s="81"/>
      <c r="AI76" s="80"/>
      <c r="AJ76" s="82"/>
      <c r="AK76" s="80"/>
      <c r="AL76" s="82"/>
    </row>
    <row r="77" spans="1:38" x14ac:dyDescent="0.2">
      <c r="D77" s="289"/>
      <c r="E77" s="51" t="s">
        <v>4</v>
      </c>
      <c r="F77" s="36" t="str">
        <f t="shared" si="50"/>
        <v>Auto Car 5</v>
      </c>
      <c r="G77" s="96"/>
      <c r="H77" s="96"/>
      <c r="I77" s="96"/>
      <c r="J77" s="96"/>
      <c r="K77" s="96">
        <f t="shared" ref="K77:Q77" si="54">$T$77</f>
        <v>0</v>
      </c>
      <c r="L77" s="96">
        <f t="shared" si="54"/>
        <v>0</v>
      </c>
      <c r="M77" s="96">
        <f t="shared" si="54"/>
        <v>0</v>
      </c>
      <c r="N77" s="96">
        <f t="shared" si="54"/>
        <v>0</v>
      </c>
      <c r="O77" s="96">
        <f t="shared" si="54"/>
        <v>0</v>
      </c>
      <c r="P77" s="96">
        <f t="shared" si="54"/>
        <v>0</v>
      </c>
      <c r="Q77" s="96">
        <f t="shared" si="54"/>
        <v>0</v>
      </c>
      <c r="R77" s="96">
        <f>$T$77</f>
        <v>0</v>
      </c>
      <c r="T77" s="53">
        <f>Variables!W7*-1</f>
        <v>0</v>
      </c>
      <c r="U77" s="54" t="str">
        <f>Variables!V7</f>
        <v>Auto Car 5</v>
      </c>
      <c r="V77" s="131">
        <f>Variables!X7</f>
        <v>0</v>
      </c>
      <c r="W77" s="267"/>
      <c r="X77" s="131"/>
      <c r="AD77" s="80"/>
      <c r="AE77" s="81"/>
      <c r="AF77" s="80"/>
      <c r="AG77" s="80"/>
      <c r="AH77" s="81"/>
      <c r="AI77" s="80"/>
      <c r="AJ77" s="82"/>
      <c r="AK77" s="80"/>
      <c r="AL77" s="82"/>
    </row>
    <row r="78" spans="1:38" x14ac:dyDescent="0.2">
      <c r="D78" s="289"/>
      <c r="E78" s="51" t="s">
        <v>4</v>
      </c>
      <c r="F78" s="36" t="str">
        <f t="shared" si="50"/>
        <v>Auto Car 6</v>
      </c>
      <c r="G78" s="96"/>
      <c r="H78" s="96"/>
      <c r="I78" s="96"/>
      <c r="J78" s="96"/>
      <c r="K78" s="96">
        <f t="shared" ref="K78:Q78" si="55">$T$78</f>
        <v>0</v>
      </c>
      <c r="L78" s="96">
        <f t="shared" si="55"/>
        <v>0</v>
      </c>
      <c r="M78" s="96">
        <f t="shared" si="55"/>
        <v>0</v>
      </c>
      <c r="N78" s="96">
        <f t="shared" si="55"/>
        <v>0</v>
      </c>
      <c r="O78" s="96">
        <f t="shared" si="55"/>
        <v>0</v>
      </c>
      <c r="P78" s="96">
        <f t="shared" si="55"/>
        <v>0</v>
      </c>
      <c r="Q78" s="96">
        <f t="shared" si="55"/>
        <v>0</v>
      </c>
      <c r="R78" s="96">
        <f>$T$78</f>
        <v>0</v>
      </c>
      <c r="T78" s="53">
        <f>Variables!W8*-1</f>
        <v>0</v>
      </c>
      <c r="U78" s="54" t="str">
        <f>Variables!V8</f>
        <v>Auto Car 6</v>
      </c>
      <c r="V78" s="131">
        <f>Variables!X8</f>
        <v>0</v>
      </c>
      <c r="W78" s="267"/>
      <c r="X78" s="131"/>
      <c r="AD78" s="80"/>
      <c r="AE78" s="81"/>
      <c r="AF78" s="80"/>
      <c r="AG78" s="80"/>
      <c r="AH78" s="81"/>
      <c r="AI78" s="80"/>
      <c r="AJ78" s="82"/>
      <c r="AK78" s="80"/>
      <c r="AL78" s="82"/>
    </row>
    <row r="79" spans="1:38" x14ac:dyDescent="0.2">
      <c r="D79" s="289"/>
      <c r="E79" s="51" t="s">
        <v>4</v>
      </c>
      <c r="F79" s="36" t="str">
        <f t="shared" si="50"/>
        <v>Auto Car 7</v>
      </c>
      <c r="G79" s="96"/>
      <c r="H79" s="96"/>
      <c r="I79" s="96"/>
      <c r="J79" s="96"/>
      <c r="K79" s="96">
        <f t="shared" ref="K79:Q79" si="56">$T$79</f>
        <v>0</v>
      </c>
      <c r="L79" s="96">
        <f t="shared" si="56"/>
        <v>0</v>
      </c>
      <c r="M79" s="96">
        <f t="shared" si="56"/>
        <v>0</v>
      </c>
      <c r="N79" s="96">
        <f t="shared" si="56"/>
        <v>0</v>
      </c>
      <c r="O79" s="96">
        <f t="shared" si="56"/>
        <v>0</v>
      </c>
      <c r="P79" s="96">
        <f t="shared" si="56"/>
        <v>0</v>
      </c>
      <c r="Q79" s="96">
        <f t="shared" si="56"/>
        <v>0</v>
      </c>
      <c r="R79" s="96">
        <f>$T$79</f>
        <v>0</v>
      </c>
      <c r="T79" s="53">
        <f>Variables!W9*-1</f>
        <v>0</v>
      </c>
      <c r="U79" s="54" t="str">
        <f>Variables!V9</f>
        <v>Auto Car 7</v>
      </c>
      <c r="V79" s="131">
        <f>Variables!X9</f>
        <v>0</v>
      </c>
      <c r="W79" s="267"/>
      <c r="X79" s="131"/>
      <c r="AD79" s="80"/>
      <c r="AE79" s="81"/>
      <c r="AF79" s="80"/>
      <c r="AG79" s="80"/>
      <c r="AH79" s="81"/>
      <c r="AI79" s="80"/>
      <c r="AJ79" s="82"/>
      <c r="AK79" s="80"/>
      <c r="AL79" s="82"/>
    </row>
    <row r="80" spans="1:38" x14ac:dyDescent="0.2">
      <c r="D80" s="289"/>
      <c r="E80" s="51" t="s">
        <v>4</v>
      </c>
      <c r="F80" s="36" t="str">
        <f t="shared" si="50"/>
        <v>Auto Car 8</v>
      </c>
      <c r="G80" s="96"/>
      <c r="H80" s="96"/>
      <c r="I80" s="96"/>
      <c r="J80" s="96"/>
      <c r="K80" s="96">
        <f t="shared" ref="K80:Q80" si="57">$T$80</f>
        <v>0</v>
      </c>
      <c r="L80" s="96">
        <f t="shared" si="57"/>
        <v>0</v>
      </c>
      <c r="M80" s="96">
        <f t="shared" si="57"/>
        <v>0</v>
      </c>
      <c r="N80" s="96">
        <f t="shared" si="57"/>
        <v>0</v>
      </c>
      <c r="O80" s="96">
        <f t="shared" si="57"/>
        <v>0</v>
      </c>
      <c r="P80" s="96">
        <f t="shared" si="57"/>
        <v>0</v>
      </c>
      <c r="Q80" s="96">
        <f t="shared" si="57"/>
        <v>0</v>
      </c>
      <c r="R80" s="96">
        <f>$T$80</f>
        <v>0</v>
      </c>
      <c r="T80" s="53">
        <f>Variables!W10*-1</f>
        <v>0</v>
      </c>
      <c r="U80" s="54" t="str">
        <f>Variables!V10</f>
        <v>Auto Car 8</v>
      </c>
      <c r="V80" s="131">
        <f>Variables!X10</f>
        <v>0</v>
      </c>
      <c r="W80" s="267"/>
      <c r="X80" s="131"/>
      <c r="AD80" s="80"/>
      <c r="AE80" s="81"/>
      <c r="AF80" s="80"/>
      <c r="AG80" s="80"/>
      <c r="AH80" s="81"/>
      <c r="AI80" s="80"/>
      <c r="AJ80" s="82"/>
      <c r="AK80" s="80"/>
      <c r="AL80" s="82"/>
    </row>
    <row r="81" spans="4:38" x14ac:dyDescent="0.2">
      <c r="D81" s="289"/>
      <c r="E81" s="51" t="s">
        <v>4</v>
      </c>
      <c r="F81" s="36" t="str">
        <f t="shared" si="50"/>
        <v>Auto Car 9</v>
      </c>
      <c r="G81" s="96"/>
      <c r="H81" s="96"/>
      <c r="I81" s="96"/>
      <c r="J81" s="96"/>
      <c r="K81" s="96">
        <f t="shared" ref="K81:Q81" si="58">$T$81</f>
        <v>0</v>
      </c>
      <c r="L81" s="96">
        <f t="shared" si="58"/>
        <v>0</v>
      </c>
      <c r="M81" s="96">
        <f t="shared" si="58"/>
        <v>0</v>
      </c>
      <c r="N81" s="96">
        <f t="shared" si="58"/>
        <v>0</v>
      </c>
      <c r="O81" s="96">
        <f t="shared" si="58"/>
        <v>0</v>
      </c>
      <c r="P81" s="96">
        <f t="shared" si="58"/>
        <v>0</v>
      </c>
      <c r="Q81" s="96">
        <f t="shared" si="58"/>
        <v>0</v>
      </c>
      <c r="R81" s="96">
        <f>$T$81</f>
        <v>0</v>
      </c>
      <c r="T81" s="53">
        <f>Variables!W11*-1</f>
        <v>0</v>
      </c>
      <c r="U81" s="54" t="str">
        <f>Variables!V11</f>
        <v>Auto Car 9</v>
      </c>
      <c r="V81" s="131">
        <f>Variables!X11</f>
        <v>0</v>
      </c>
      <c r="W81" s="267"/>
      <c r="X81" s="131"/>
      <c r="AD81" s="80"/>
      <c r="AE81" s="81"/>
      <c r="AF81" s="80"/>
      <c r="AG81" s="80"/>
      <c r="AH81" s="81"/>
      <c r="AI81" s="80"/>
      <c r="AJ81" s="82"/>
      <c r="AK81" s="80"/>
      <c r="AL81" s="82"/>
    </row>
    <row r="82" spans="4:38" x14ac:dyDescent="0.2">
      <c r="D82" s="289"/>
      <c r="E82" s="51" t="s">
        <v>4</v>
      </c>
      <c r="F82" s="36" t="str">
        <f t="shared" si="50"/>
        <v>Auto Car 10</v>
      </c>
      <c r="G82" s="96"/>
      <c r="H82" s="96"/>
      <c r="I82" s="96"/>
      <c r="J82" s="96"/>
      <c r="K82" s="96">
        <f t="shared" ref="K82:Q82" si="59">$T$82</f>
        <v>0</v>
      </c>
      <c r="L82" s="96">
        <f t="shared" si="59"/>
        <v>0</v>
      </c>
      <c r="M82" s="96">
        <f t="shared" si="59"/>
        <v>0</v>
      </c>
      <c r="N82" s="96">
        <f t="shared" si="59"/>
        <v>0</v>
      </c>
      <c r="O82" s="96">
        <f t="shared" si="59"/>
        <v>0</v>
      </c>
      <c r="P82" s="96">
        <f t="shared" si="59"/>
        <v>0</v>
      </c>
      <c r="Q82" s="96">
        <f t="shared" si="59"/>
        <v>0</v>
      </c>
      <c r="R82" s="96">
        <f>$T$82</f>
        <v>0</v>
      </c>
      <c r="T82" s="53">
        <f>Variables!W12*-1</f>
        <v>0</v>
      </c>
      <c r="U82" s="54" t="str">
        <f>Variables!V12</f>
        <v>Auto Car 10</v>
      </c>
      <c r="V82" s="131">
        <f>Variables!X12</f>
        <v>0</v>
      </c>
      <c r="W82" s="267"/>
      <c r="X82" s="131"/>
      <c r="AD82" s="80"/>
      <c r="AE82" s="81"/>
      <c r="AF82" s="80"/>
      <c r="AG82" s="80"/>
      <c r="AH82" s="81"/>
      <c r="AI82" s="80"/>
      <c r="AJ82" s="82"/>
      <c r="AK82" s="80"/>
      <c r="AL82" s="82"/>
    </row>
    <row r="83" spans="4:38" x14ac:dyDescent="0.2">
      <c r="D83" s="289"/>
      <c r="E83" s="68" t="s">
        <v>6</v>
      </c>
      <c r="F83" s="36" t="str">
        <f>U83</f>
        <v>Manual Car 1</v>
      </c>
      <c r="G83" s="96"/>
      <c r="H83" s="96"/>
      <c r="I83" s="96"/>
      <c r="J83" s="96"/>
      <c r="K83" s="96">
        <f t="shared" ref="K83:Q83" si="60">$T$83</f>
        <v>0</v>
      </c>
      <c r="L83" s="96">
        <f t="shared" si="60"/>
        <v>0</v>
      </c>
      <c r="M83" s="96">
        <f t="shared" si="60"/>
        <v>0</v>
      </c>
      <c r="N83" s="96">
        <f t="shared" si="60"/>
        <v>0</v>
      </c>
      <c r="O83" s="96">
        <f t="shared" si="60"/>
        <v>0</v>
      </c>
      <c r="P83" s="96">
        <f t="shared" si="60"/>
        <v>0</v>
      </c>
      <c r="Q83" s="96">
        <f t="shared" si="60"/>
        <v>0</v>
      </c>
      <c r="R83" s="96">
        <f>$T$83</f>
        <v>0</v>
      </c>
      <c r="T83" s="53">
        <f>Variables!W14*-1</f>
        <v>0</v>
      </c>
      <c r="U83" s="54" t="str">
        <f>Variables!V14</f>
        <v>Manual Car 1</v>
      </c>
      <c r="V83" s="141">
        <f>Variables!X14</f>
        <v>0</v>
      </c>
      <c r="W83" s="267"/>
      <c r="X83" s="141"/>
      <c r="AD83" s="80"/>
      <c r="AE83" s="81"/>
      <c r="AF83" s="80"/>
      <c r="AG83" s="80"/>
      <c r="AH83" s="81"/>
      <c r="AI83" s="80"/>
      <c r="AJ83" s="82"/>
      <c r="AK83" s="80"/>
      <c r="AL83" s="82"/>
    </row>
    <row r="84" spans="4:38" x14ac:dyDescent="0.2">
      <c r="D84" s="289"/>
      <c r="E84" s="68" t="s">
        <v>6</v>
      </c>
      <c r="F84" s="36" t="str">
        <f t="shared" si="50"/>
        <v>Manual Car 2</v>
      </c>
      <c r="G84" s="96"/>
      <c r="H84" s="96"/>
      <c r="I84" s="96"/>
      <c r="J84" s="96"/>
      <c r="K84" s="96">
        <f t="shared" ref="K84:Q84" si="61">$T$84</f>
        <v>0</v>
      </c>
      <c r="L84" s="96">
        <f t="shared" si="61"/>
        <v>0</v>
      </c>
      <c r="M84" s="96">
        <f t="shared" si="61"/>
        <v>0</v>
      </c>
      <c r="N84" s="96">
        <f t="shared" si="61"/>
        <v>0</v>
      </c>
      <c r="O84" s="96">
        <f t="shared" si="61"/>
        <v>0</v>
      </c>
      <c r="P84" s="96">
        <f t="shared" si="61"/>
        <v>0</v>
      </c>
      <c r="Q84" s="96">
        <f t="shared" si="61"/>
        <v>0</v>
      </c>
      <c r="R84" s="96">
        <f>$T$84</f>
        <v>0</v>
      </c>
      <c r="T84" s="53">
        <f>Variables!W15*-1</f>
        <v>0</v>
      </c>
      <c r="U84" s="54" t="str">
        <f>Variables!V15</f>
        <v>Manual Car 2</v>
      </c>
      <c r="V84" s="141">
        <f>Variables!X15</f>
        <v>0</v>
      </c>
      <c r="W84" s="267"/>
      <c r="X84" s="141"/>
      <c r="AD84" s="80"/>
      <c r="AE84" s="81"/>
      <c r="AF84" s="80"/>
      <c r="AG84" s="80"/>
      <c r="AH84" s="81"/>
      <c r="AI84" s="80"/>
      <c r="AJ84" s="82"/>
      <c r="AK84" s="80"/>
      <c r="AL84" s="82"/>
    </row>
    <row r="85" spans="4:38" x14ac:dyDescent="0.2">
      <c r="D85" s="289"/>
      <c r="E85" s="68" t="s">
        <v>6</v>
      </c>
      <c r="F85" s="36" t="str">
        <f t="shared" si="50"/>
        <v>Manual Car 3</v>
      </c>
      <c r="G85" s="96"/>
      <c r="H85" s="96"/>
      <c r="I85" s="96"/>
      <c r="J85" s="96"/>
      <c r="K85" s="96">
        <f t="shared" ref="K85:Q85" si="62">$T$85</f>
        <v>0</v>
      </c>
      <c r="L85" s="96">
        <f t="shared" si="62"/>
        <v>0</v>
      </c>
      <c r="M85" s="96">
        <f t="shared" si="62"/>
        <v>0</v>
      </c>
      <c r="N85" s="96">
        <f t="shared" si="62"/>
        <v>0</v>
      </c>
      <c r="O85" s="96">
        <f t="shared" si="62"/>
        <v>0</v>
      </c>
      <c r="P85" s="96">
        <f t="shared" si="62"/>
        <v>0</v>
      </c>
      <c r="Q85" s="96">
        <f t="shared" si="62"/>
        <v>0</v>
      </c>
      <c r="R85" s="96">
        <f>$T$85</f>
        <v>0</v>
      </c>
      <c r="T85" s="53">
        <f>Variables!W16*-1</f>
        <v>0</v>
      </c>
      <c r="U85" s="54" t="str">
        <f>Variables!V16</f>
        <v>Manual Car 3</v>
      </c>
      <c r="V85" s="141">
        <f>Variables!X16</f>
        <v>0</v>
      </c>
      <c r="W85" s="267"/>
      <c r="X85" s="141"/>
      <c r="AD85" s="80"/>
      <c r="AE85" s="81"/>
      <c r="AF85" s="80"/>
      <c r="AG85" s="80"/>
      <c r="AH85" s="81"/>
      <c r="AI85" s="80"/>
      <c r="AJ85" s="82"/>
      <c r="AK85" s="80"/>
      <c r="AL85" s="82"/>
    </row>
    <row r="86" spans="4:38" x14ac:dyDescent="0.2">
      <c r="D86" s="289"/>
      <c r="E86" s="68" t="s">
        <v>6</v>
      </c>
      <c r="F86" s="36" t="str">
        <f t="shared" si="50"/>
        <v>Manual Car 4</v>
      </c>
      <c r="G86" s="96"/>
      <c r="H86" s="96"/>
      <c r="I86" s="96"/>
      <c r="J86" s="96"/>
      <c r="K86" s="96">
        <f t="shared" ref="K86:Q86" si="63">$T$86</f>
        <v>0</v>
      </c>
      <c r="L86" s="96">
        <f t="shared" si="63"/>
        <v>0</v>
      </c>
      <c r="M86" s="96">
        <f t="shared" si="63"/>
        <v>0</v>
      </c>
      <c r="N86" s="96">
        <f t="shared" si="63"/>
        <v>0</v>
      </c>
      <c r="O86" s="96">
        <f t="shared" si="63"/>
        <v>0</v>
      </c>
      <c r="P86" s="96">
        <f t="shared" si="63"/>
        <v>0</v>
      </c>
      <c r="Q86" s="96">
        <f t="shared" si="63"/>
        <v>0</v>
      </c>
      <c r="R86" s="96">
        <f>$T$86</f>
        <v>0</v>
      </c>
      <c r="T86" s="53">
        <f>Variables!W17*-1</f>
        <v>0</v>
      </c>
      <c r="U86" s="54" t="str">
        <f>Variables!V17</f>
        <v>Manual Car 4</v>
      </c>
      <c r="V86" s="141">
        <f>Variables!X17</f>
        <v>0</v>
      </c>
      <c r="W86" s="267"/>
      <c r="X86" s="141"/>
      <c r="AD86" s="80"/>
      <c r="AE86" s="81"/>
      <c r="AF86" s="80"/>
      <c r="AG86" s="80"/>
      <c r="AH86" s="81"/>
      <c r="AI86" s="80"/>
      <c r="AJ86" s="82"/>
      <c r="AK86" s="80"/>
      <c r="AL86" s="82"/>
    </row>
    <row r="87" spans="4:38" x14ac:dyDescent="0.2">
      <c r="D87" s="289"/>
      <c r="E87" s="68" t="s">
        <v>6</v>
      </c>
      <c r="F87" s="36" t="str">
        <f t="shared" si="50"/>
        <v>Manual Car 5</v>
      </c>
      <c r="G87" s="96"/>
      <c r="H87" s="96"/>
      <c r="I87" s="96"/>
      <c r="J87" s="96"/>
      <c r="K87" s="96">
        <f t="shared" ref="K87:Q87" si="64">$T$87</f>
        <v>0</v>
      </c>
      <c r="L87" s="96">
        <f t="shared" si="64"/>
        <v>0</v>
      </c>
      <c r="M87" s="96">
        <f t="shared" si="64"/>
        <v>0</v>
      </c>
      <c r="N87" s="96">
        <f t="shared" si="64"/>
        <v>0</v>
      </c>
      <c r="O87" s="96">
        <f t="shared" si="64"/>
        <v>0</v>
      </c>
      <c r="P87" s="96">
        <f t="shared" si="64"/>
        <v>0</v>
      </c>
      <c r="Q87" s="96">
        <f t="shared" si="64"/>
        <v>0</v>
      </c>
      <c r="R87" s="96">
        <f>$T$87</f>
        <v>0</v>
      </c>
      <c r="T87" s="53">
        <f>Variables!W18*-1</f>
        <v>0</v>
      </c>
      <c r="U87" s="54" t="str">
        <f>Variables!V18</f>
        <v>Manual Car 5</v>
      </c>
      <c r="V87" s="141">
        <f>Variables!X18</f>
        <v>0</v>
      </c>
      <c r="W87" s="267"/>
      <c r="X87" s="141"/>
      <c r="AD87" s="80"/>
      <c r="AE87" s="81"/>
      <c r="AF87" s="80"/>
      <c r="AG87" s="80"/>
      <c r="AH87" s="81"/>
      <c r="AI87" s="80"/>
      <c r="AJ87" s="82"/>
      <c r="AK87" s="80"/>
      <c r="AL87" s="82"/>
    </row>
    <row r="88" spans="4:38" x14ac:dyDescent="0.2">
      <c r="D88" s="289"/>
      <c r="E88" s="68" t="s">
        <v>6</v>
      </c>
      <c r="F88" s="36" t="str">
        <f t="shared" si="50"/>
        <v>Manual Car 6</v>
      </c>
      <c r="G88" s="96"/>
      <c r="H88" s="96"/>
      <c r="I88" s="96"/>
      <c r="J88" s="96"/>
      <c r="K88" s="96">
        <f t="shared" ref="K88:Q88" si="65">$T$88</f>
        <v>0</v>
      </c>
      <c r="L88" s="96">
        <f t="shared" si="65"/>
        <v>0</v>
      </c>
      <c r="M88" s="96">
        <f t="shared" si="65"/>
        <v>0</v>
      </c>
      <c r="N88" s="96">
        <f t="shared" si="65"/>
        <v>0</v>
      </c>
      <c r="O88" s="96">
        <f t="shared" si="65"/>
        <v>0</v>
      </c>
      <c r="P88" s="96">
        <f t="shared" si="65"/>
        <v>0</v>
      </c>
      <c r="Q88" s="96">
        <f t="shared" si="65"/>
        <v>0</v>
      </c>
      <c r="R88" s="96">
        <f>$T$88</f>
        <v>0</v>
      </c>
      <c r="T88" s="53">
        <f>Variables!W19*-1</f>
        <v>0</v>
      </c>
      <c r="U88" s="54" t="str">
        <f>Variables!V19</f>
        <v>Manual Car 6</v>
      </c>
      <c r="V88" s="141">
        <f>Variables!X19</f>
        <v>0</v>
      </c>
      <c r="W88" s="267"/>
      <c r="X88" s="141"/>
      <c r="AD88" s="80"/>
      <c r="AE88" s="81"/>
      <c r="AF88" s="80"/>
      <c r="AG88" s="80"/>
      <c r="AH88" s="81"/>
      <c r="AI88" s="80"/>
      <c r="AJ88" s="82"/>
      <c r="AK88" s="80"/>
      <c r="AL88" s="82"/>
    </row>
    <row r="89" spans="4:38" x14ac:dyDescent="0.2">
      <c r="D89" s="289"/>
      <c r="E89" s="68" t="s">
        <v>6</v>
      </c>
      <c r="F89" s="36" t="str">
        <f t="shared" si="50"/>
        <v>Manual Car 7</v>
      </c>
      <c r="G89" s="96"/>
      <c r="H89" s="96"/>
      <c r="I89" s="96"/>
      <c r="J89" s="96"/>
      <c r="K89" s="96">
        <f t="shared" ref="K89:Q89" si="66">$T$89</f>
        <v>0</v>
      </c>
      <c r="L89" s="96">
        <f t="shared" si="66"/>
        <v>0</v>
      </c>
      <c r="M89" s="96">
        <f t="shared" si="66"/>
        <v>0</v>
      </c>
      <c r="N89" s="96">
        <f t="shared" si="66"/>
        <v>0</v>
      </c>
      <c r="O89" s="96">
        <f t="shared" si="66"/>
        <v>0</v>
      </c>
      <c r="P89" s="96">
        <f t="shared" si="66"/>
        <v>0</v>
      </c>
      <c r="Q89" s="96">
        <f t="shared" si="66"/>
        <v>0</v>
      </c>
      <c r="R89" s="96">
        <f>$T$89</f>
        <v>0</v>
      </c>
      <c r="T89" s="53">
        <f>Variables!W20*-1</f>
        <v>0</v>
      </c>
      <c r="U89" s="54" t="str">
        <f>Variables!V20</f>
        <v>Manual Car 7</v>
      </c>
      <c r="V89" s="141">
        <f>Variables!X20</f>
        <v>0</v>
      </c>
      <c r="W89" s="267"/>
      <c r="X89" s="141"/>
      <c r="AD89" s="80"/>
      <c r="AE89" s="81"/>
      <c r="AF89" s="80"/>
      <c r="AG89" s="80"/>
      <c r="AH89" s="81"/>
      <c r="AI89" s="80"/>
      <c r="AJ89" s="82"/>
      <c r="AK89" s="80"/>
      <c r="AL89" s="82"/>
    </row>
    <row r="90" spans="4:38" x14ac:dyDescent="0.2">
      <c r="D90" s="289"/>
      <c r="E90" s="68" t="s">
        <v>6</v>
      </c>
      <c r="F90" s="36" t="str">
        <f t="shared" si="50"/>
        <v>Manual Car 8</v>
      </c>
      <c r="G90" s="96"/>
      <c r="H90" s="96"/>
      <c r="I90" s="96"/>
      <c r="J90" s="96"/>
      <c r="K90" s="96">
        <f t="shared" ref="K90:Q90" si="67">$T$90</f>
        <v>0</v>
      </c>
      <c r="L90" s="96">
        <f t="shared" si="67"/>
        <v>0</v>
      </c>
      <c r="M90" s="96">
        <f t="shared" si="67"/>
        <v>0</v>
      </c>
      <c r="N90" s="96">
        <f t="shared" si="67"/>
        <v>0</v>
      </c>
      <c r="O90" s="96">
        <f t="shared" si="67"/>
        <v>0</v>
      </c>
      <c r="P90" s="96">
        <f t="shared" si="67"/>
        <v>0</v>
      </c>
      <c r="Q90" s="96">
        <f t="shared" si="67"/>
        <v>0</v>
      </c>
      <c r="R90" s="96">
        <f>$T$90</f>
        <v>0</v>
      </c>
      <c r="T90" s="53">
        <f>Variables!W21*-1</f>
        <v>0</v>
      </c>
      <c r="U90" s="54" t="str">
        <f>Variables!V21</f>
        <v>Manual Car 8</v>
      </c>
      <c r="V90" s="141">
        <f>Variables!X21</f>
        <v>0</v>
      </c>
      <c r="W90" s="267"/>
      <c r="X90" s="141"/>
      <c r="AD90" s="80"/>
      <c r="AE90" s="81"/>
      <c r="AF90" s="80"/>
      <c r="AG90" s="80"/>
      <c r="AH90" s="81"/>
      <c r="AI90" s="80"/>
      <c r="AJ90" s="82"/>
      <c r="AK90" s="80"/>
      <c r="AL90" s="82"/>
    </row>
    <row r="91" spans="4:38" x14ac:dyDescent="0.2">
      <c r="D91" s="289"/>
      <c r="E91" s="68" t="s">
        <v>6</v>
      </c>
      <c r="F91" s="36" t="str">
        <f t="shared" si="50"/>
        <v>Manual Car 9</v>
      </c>
      <c r="G91" s="96"/>
      <c r="H91" s="96"/>
      <c r="I91" s="96"/>
      <c r="J91" s="96"/>
      <c r="K91" s="96">
        <f t="shared" ref="K91:Q91" si="68">$T$91</f>
        <v>0</v>
      </c>
      <c r="L91" s="96">
        <f t="shared" si="68"/>
        <v>0</v>
      </c>
      <c r="M91" s="96">
        <f t="shared" si="68"/>
        <v>0</v>
      </c>
      <c r="N91" s="96">
        <f t="shared" si="68"/>
        <v>0</v>
      </c>
      <c r="O91" s="96">
        <f t="shared" si="68"/>
        <v>0</v>
      </c>
      <c r="P91" s="96">
        <f t="shared" si="68"/>
        <v>0</v>
      </c>
      <c r="Q91" s="96">
        <f t="shared" si="68"/>
        <v>0</v>
      </c>
      <c r="R91" s="96">
        <f>$T$91</f>
        <v>0</v>
      </c>
      <c r="T91" s="53">
        <f>Variables!W22*-1</f>
        <v>0</v>
      </c>
      <c r="U91" s="54" t="str">
        <f>Variables!V22</f>
        <v>Manual Car 9</v>
      </c>
      <c r="V91" s="141">
        <f>Variables!X22</f>
        <v>0</v>
      </c>
      <c r="W91" s="267"/>
      <c r="X91" s="141"/>
      <c r="AD91" s="80"/>
      <c r="AE91" s="81"/>
      <c r="AF91" s="80"/>
      <c r="AG91" s="80"/>
      <c r="AH91" s="81"/>
      <c r="AI91" s="80"/>
      <c r="AJ91" s="82"/>
      <c r="AK91" s="80"/>
      <c r="AL91" s="82"/>
    </row>
    <row r="92" spans="4:38" x14ac:dyDescent="0.2">
      <c r="D92" s="290"/>
      <c r="E92" s="68" t="s">
        <v>6</v>
      </c>
      <c r="F92" s="36" t="str">
        <f t="shared" si="50"/>
        <v>Manual Car 10</v>
      </c>
      <c r="G92" s="96"/>
      <c r="H92" s="96"/>
      <c r="I92" s="96"/>
      <c r="J92" s="96"/>
      <c r="K92" s="96">
        <f t="shared" ref="K92:Q92" si="69">$T$92</f>
        <v>0</v>
      </c>
      <c r="L92" s="96">
        <f t="shared" si="69"/>
        <v>0</v>
      </c>
      <c r="M92" s="96">
        <f t="shared" si="69"/>
        <v>0</v>
      </c>
      <c r="N92" s="96">
        <f t="shared" si="69"/>
        <v>0</v>
      </c>
      <c r="O92" s="96">
        <f t="shared" si="69"/>
        <v>0</v>
      </c>
      <c r="P92" s="96">
        <f t="shared" si="69"/>
        <v>0</v>
      </c>
      <c r="Q92" s="96">
        <f t="shared" si="69"/>
        <v>0</v>
      </c>
      <c r="R92" s="96">
        <f>$T$92</f>
        <v>0</v>
      </c>
      <c r="T92" s="53">
        <f>Variables!W23*-1</f>
        <v>0</v>
      </c>
      <c r="U92" s="54" t="str">
        <f>Variables!V23</f>
        <v>Manual Car 10</v>
      </c>
      <c r="V92" s="141">
        <f>Variables!X23</f>
        <v>0</v>
      </c>
      <c r="W92" s="268"/>
      <c r="X92" s="141"/>
      <c r="AD92" s="80"/>
      <c r="AE92" s="81"/>
      <c r="AF92" s="80"/>
      <c r="AG92" s="80"/>
      <c r="AH92" s="81"/>
      <c r="AI92" s="80"/>
      <c r="AJ92" s="82"/>
      <c r="AK92" s="80"/>
      <c r="AL92" s="82"/>
    </row>
    <row r="93" spans="4:38" x14ac:dyDescent="0.2">
      <c r="D93" s="291" t="str">
        <f>Variables!$AD$2</f>
        <v>Other Subscriptions</v>
      </c>
      <c r="E93" s="51" t="s">
        <v>4</v>
      </c>
      <c r="F93" s="37" t="str">
        <f>U93</f>
        <v>Netflix</v>
      </c>
      <c r="G93" s="97"/>
      <c r="H93" s="97"/>
      <c r="I93" s="97"/>
      <c r="J93" s="97"/>
      <c r="K93" s="97">
        <f t="shared" ref="K93:Q93" si="70">$T$93</f>
        <v>-20</v>
      </c>
      <c r="L93" s="97">
        <f t="shared" si="70"/>
        <v>-20</v>
      </c>
      <c r="M93" s="97">
        <f t="shared" si="70"/>
        <v>-20</v>
      </c>
      <c r="N93" s="97">
        <f t="shared" si="70"/>
        <v>-20</v>
      </c>
      <c r="O93" s="97">
        <f t="shared" si="70"/>
        <v>-20</v>
      </c>
      <c r="P93" s="97">
        <f t="shared" si="70"/>
        <v>-20</v>
      </c>
      <c r="Q93" s="97">
        <f t="shared" si="70"/>
        <v>-20</v>
      </c>
      <c r="R93" s="97">
        <f>$T$93</f>
        <v>-20</v>
      </c>
      <c r="S93" s="43"/>
      <c r="T93" s="69">
        <f>Variables!AA3*-1</f>
        <v>-20</v>
      </c>
      <c r="U93" s="43" t="str">
        <f>Variables!Z3</f>
        <v>Netflix</v>
      </c>
      <c r="V93" s="131">
        <f>Variables!AB3</f>
        <v>0</v>
      </c>
      <c r="W93" s="239" t="str">
        <f>Variables!$AD$2</f>
        <v>Other Subscriptions</v>
      </c>
      <c r="X93" s="131"/>
      <c r="AD93" s="80"/>
      <c r="AE93" s="81"/>
      <c r="AF93" s="80"/>
      <c r="AG93" s="80"/>
      <c r="AH93" s="81"/>
      <c r="AI93" s="80"/>
      <c r="AJ93" s="82"/>
      <c r="AK93" s="80"/>
      <c r="AL93" s="82"/>
    </row>
    <row r="94" spans="4:38" x14ac:dyDescent="0.2">
      <c r="D94" s="292"/>
      <c r="E94" s="51" t="s">
        <v>4</v>
      </c>
      <c r="F94" s="37" t="str">
        <f t="shared" ref="F94:F102" si="71">U94</f>
        <v>Hulu</v>
      </c>
      <c r="G94" s="97"/>
      <c r="H94" s="97"/>
      <c r="I94" s="97"/>
      <c r="J94" s="97"/>
      <c r="K94" s="97">
        <f t="shared" ref="K94:Q94" si="72">$T$94</f>
        <v>-30</v>
      </c>
      <c r="L94" s="97">
        <f t="shared" si="72"/>
        <v>-30</v>
      </c>
      <c r="M94" s="97">
        <f t="shared" si="72"/>
        <v>-30</v>
      </c>
      <c r="N94" s="97">
        <f t="shared" si="72"/>
        <v>-30</v>
      </c>
      <c r="O94" s="97">
        <f t="shared" si="72"/>
        <v>-30</v>
      </c>
      <c r="P94" s="97">
        <f t="shared" si="72"/>
        <v>-30</v>
      </c>
      <c r="Q94" s="97">
        <f t="shared" si="72"/>
        <v>-30</v>
      </c>
      <c r="R94" s="97">
        <f>$T$94</f>
        <v>-30</v>
      </c>
      <c r="S94" s="43"/>
      <c r="T94" s="69">
        <f>Variables!AA4*-1</f>
        <v>-30</v>
      </c>
      <c r="U94" s="43" t="str">
        <f>Variables!Z4</f>
        <v>Hulu</v>
      </c>
      <c r="V94" s="131">
        <f>Variables!AB4</f>
        <v>0</v>
      </c>
      <c r="W94" s="240"/>
      <c r="X94" s="131"/>
      <c r="AD94" s="80"/>
      <c r="AE94" s="81"/>
      <c r="AF94" s="80"/>
      <c r="AG94" s="80"/>
      <c r="AH94" s="81"/>
      <c r="AI94" s="80"/>
      <c r="AJ94" s="82"/>
      <c r="AK94" s="80"/>
      <c r="AL94" s="82"/>
    </row>
    <row r="95" spans="4:38" x14ac:dyDescent="0.2">
      <c r="D95" s="292"/>
      <c r="E95" s="51" t="s">
        <v>4</v>
      </c>
      <c r="F95" s="37" t="str">
        <f t="shared" si="71"/>
        <v>Spotify</v>
      </c>
      <c r="G95" s="97"/>
      <c r="H95" s="97"/>
      <c r="I95" s="97"/>
      <c r="J95" s="97"/>
      <c r="K95" s="97">
        <f t="shared" ref="K95:Q95" si="73">$T$95</f>
        <v>-40</v>
      </c>
      <c r="L95" s="97">
        <f t="shared" si="73"/>
        <v>-40</v>
      </c>
      <c r="M95" s="97">
        <f t="shared" si="73"/>
        <v>-40</v>
      </c>
      <c r="N95" s="97">
        <f t="shared" si="73"/>
        <v>-40</v>
      </c>
      <c r="O95" s="97">
        <f t="shared" si="73"/>
        <v>-40</v>
      </c>
      <c r="P95" s="97">
        <f t="shared" si="73"/>
        <v>-40</v>
      </c>
      <c r="Q95" s="97">
        <f t="shared" si="73"/>
        <v>-40</v>
      </c>
      <c r="R95" s="97">
        <f>$T$95</f>
        <v>-40</v>
      </c>
      <c r="S95" s="43"/>
      <c r="T95" s="69">
        <f>Variables!AA5*-1</f>
        <v>-40</v>
      </c>
      <c r="U95" s="43" t="str">
        <f>Variables!Z5</f>
        <v>Spotify</v>
      </c>
      <c r="V95" s="131">
        <f>Variables!AB5</f>
        <v>0</v>
      </c>
      <c r="W95" s="240"/>
      <c r="X95" s="131"/>
      <c r="AD95" s="80"/>
      <c r="AE95" s="81"/>
      <c r="AF95" s="80"/>
      <c r="AG95" s="80"/>
      <c r="AH95" s="81"/>
      <c r="AI95" s="80"/>
      <c r="AJ95" s="82"/>
      <c r="AK95" s="80"/>
      <c r="AL95" s="82"/>
    </row>
    <row r="96" spans="4:38" x14ac:dyDescent="0.2">
      <c r="D96" s="292"/>
      <c r="E96" s="51" t="s">
        <v>4</v>
      </c>
      <c r="F96" s="37" t="str">
        <f t="shared" si="71"/>
        <v>Auto E 4</v>
      </c>
      <c r="G96" s="97"/>
      <c r="H96" s="97"/>
      <c r="I96" s="97"/>
      <c r="J96" s="97"/>
      <c r="K96" s="97">
        <f t="shared" ref="K96:Q96" si="74">$T$96</f>
        <v>0</v>
      </c>
      <c r="L96" s="97">
        <f t="shared" si="74"/>
        <v>0</v>
      </c>
      <c r="M96" s="97">
        <f t="shared" si="74"/>
        <v>0</v>
      </c>
      <c r="N96" s="97">
        <f t="shared" si="74"/>
        <v>0</v>
      </c>
      <c r="O96" s="97">
        <f t="shared" si="74"/>
        <v>0</v>
      </c>
      <c r="P96" s="97">
        <f t="shared" si="74"/>
        <v>0</v>
      </c>
      <c r="Q96" s="97">
        <f t="shared" si="74"/>
        <v>0</v>
      </c>
      <c r="R96" s="97">
        <f>$T$96</f>
        <v>0</v>
      </c>
      <c r="T96" s="69">
        <f>Variables!AA6*-1</f>
        <v>0</v>
      </c>
      <c r="U96" s="43" t="str">
        <f>Variables!Z6</f>
        <v>Auto E 4</v>
      </c>
      <c r="V96" s="131">
        <f>Variables!AB6</f>
        <v>0</v>
      </c>
      <c r="W96" s="240"/>
      <c r="X96" s="131"/>
      <c r="AD96" s="80"/>
      <c r="AE96" s="81"/>
      <c r="AF96" s="80"/>
      <c r="AG96" s="80"/>
      <c r="AH96" s="81"/>
      <c r="AI96" s="80"/>
      <c r="AJ96" s="82"/>
      <c r="AK96" s="80"/>
      <c r="AL96" s="82"/>
    </row>
    <row r="97" spans="4:38" x14ac:dyDescent="0.2">
      <c r="D97" s="292"/>
      <c r="E97" s="51" t="s">
        <v>4</v>
      </c>
      <c r="F97" s="37" t="str">
        <f t="shared" si="71"/>
        <v>Auto E 5</v>
      </c>
      <c r="G97" s="97"/>
      <c r="H97" s="97"/>
      <c r="I97" s="97"/>
      <c r="J97" s="97"/>
      <c r="K97" s="97">
        <f t="shared" ref="K97:Q97" si="75">$T$97</f>
        <v>0</v>
      </c>
      <c r="L97" s="97">
        <f t="shared" si="75"/>
        <v>0</v>
      </c>
      <c r="M97" s="97">
        <f t="shared" si="75"/>
        <v>0</v>
      </c>
      <c r="N97" s="97">
        <f t="shared" si="75"/>
        <v>0</v>
      </c>
      <c r="O97" s="97">
        <f t="shared" si="75"/>
        <v>0</v>
      </c>
      <c r="P97" s="97">
        <f t="shared" si="75"/>
        <v>0</v>
      </c>
      <c r="Q97" s="97">
        <f t="shared" si="75"/>
        <v>0</v>
      </c>
      <c r="R97" s="97">
        <f>$T$97</f>
        <v>0</v>
      </c>
      <c r="T97" s="69">
        <f>Variables!AA7*-1</f>
        <v>0</v>
      </c>
      <c r="U97" s="43" t="str">
        <f>Variables!Z7</f>
        <v>Auto E 5</v>
      </c>
      <c r="V97" s="131">
        <f>Variables!AB7</f>
        <v>0</v>
      </c>
      <c r="W97" s="240"/>
      <c r="X97" s="131"/>
      <c r="AD97" s="80"/>
      <c r="AE97" s="81"/>
      <c r="AF97" s="80"/>
      <c r="AG97" s="80"/>
      <c r="AH97" s="81"/>
      <c r="AI97" s="80"/>
      <c r="AJ97" s="82"/>
      <c r="AK97" s="80"/>
      <c r="AL97" s="82"/>
    </row>
    <row r="98" spans="4:38" x14ac:dyDescent="0.2">
      <c r="D98" s="292"/>
      <c r="E98" s="51" t="s">
        <v>4</v>
      </c>
      <c r="F98" s="37" t="str">
        <f t="shared" si="71"/>
        <v>Auto E 6</v>
      </c>
      <c r="G98" s="97"/>
      <c r="H98" s="97"/>
      <c r="I98" s="97"/>
      <c r="J98" s="97"/>
      <c r="K98" s="97">
        <f t="shared" ref="K98:Q98" si="76">$T$98</f>
        <v>0</v>
      </c>
      <c r="L98" s="97">
        <f t="shared" si="76"/>
        <v>0</v>
      </c>
      <c r="M98" s="97">
        <f t="shared" si="76"/>
        <v>0</v>
      </c>
      <c r="N98" s="97">
        <f t="shared" si="76"/>
        <v>0</v>
      </c>
      <c r="O98" s="97">
        <f t="shared" si="76"/>
        <v>0</v>
      </c>
      <c r="P98" s="97">
        <f t="shared" si="76"/>
        <v>0</v>
      </c>
      <c r="Q98" s="97">
        <f t="shared" si="76"/>
        <v>0</v>
      </c>
      <c r="R98" s="97">
        <f>$T$98</f>
        <v>0</v>
      </c>
      <c r="T98" s="69">
        <f>Variables!AA8*-1</f>
        <v>0</v>
      </c>
      <c r="U98" s="43" t="str">
        <f>Variables!Z8</f>
        <v>Auto E 6</v>
      </c>
      <c r="V98" s="131">
        <f>Variables!AB8</f>
        <v>0</v>
      </c>
      <c r="W98" s="240"/>
      <c r="X98" s="131"/>
      <c r="AD98" s="80"/>
      <c r="AE98" s="81"/>
      <c r="AF98" s="80"/>
      <c r="AG98" s="80"/>
      <c r="AH98" s="81"/>
      <c r="AI98" s="80"/>
      <c r="AJ98" s="82"/>
      <c r="AK98" s="80"/>
      <c r="AL98" s="82"/>
    </row>
    <row r="99" spans="4:38" x14ac:dyDescent="0.2">
      <c r="D99" s="292"/>
      <c r="E99" s="51" t="s">
        <v>4</v>
      </c>
      <c r="F99" s="37" t="str">
        <f t="shared" si="71"/>
        <v>Auto E 7</v>
      </c>
      <c r="G99" s="97"/>
      <c r="H99" s="97"/>
      <c r="I99" s="97"/>
      <c r="J99" s="97"/>
      <c r="K99" s="97">
        <f t="shared" ref="K99:Q99" si="77">$T$99</f>
        <v>0</v>
      </c>
      <c r="L99" s="97">
        <f t="shared" si="77"/>
        <v>0</v>
      </c>
      <c r="M99" s="97">
        <f t="shared" si="77"/>
        <v>0</v>
      </c>
      <c r="N99" s="97">
        <f t="shared" si="77"/>
        <v>0</v>
      </c>
      <c r="O99" s="97">
        <f t="shared" si="77"/>
        <v>0</v>
      </c>
      <c r="P99" s="97">
        <f t="shared" si="77"/>
        <v>0</v>
      </c>
      <c r="Q99" s="97">
        <f t="shared" si="77"/>
        <v>0</v>
      </c>
      <c r="R99" s="97">
        <f>$T$99</f>
        <v>0</v>
      </c>
      <c r="T99" s="69">
        <f>Variables!AA9*-1</f>
        <v>0</v>
      </c>
      <c r="U99" s="43" t="str">
        <f>Variables!Z9</f>
        <v>Auto E 7</v>
      </c>
      <c r="V99" s="131">
        <f>Variables!AB9</f>
        <v>0</v>
      </c>
      <c r="W99" s="240"/>
      <c r="X99" s="131"/>
      <c r="AD99" s="80"/>
      <c r="AE99" s="81"/>
      <c r="AF99" s="80"/>
      <c r="AG99" s="80"/>
      <c r="AH99" s="81"/>
      <c r="AI99" s="80"/>
      <c r="AJ99" s="82"/>
      <c r="AK99" s="80"/>
      <c r="AL99" s="82"/>
    </row>
    <row r="100" spans="4:38" x14ac:dyDescent="0.2">
      <c r="D100" s="292"/>
      <c r="E100" s="51" t="s">
        <v>4</v>
      </c>
      <c r="F100" s="37" t="str">
        <f t="shared" si="71"/>
        <v>Auto E 8</v>
      </c>
      <c r="G100" s="97"/>
      <c r="H100" s="97"/>
      <c r="I100" s="97"/>
      <c r="J100" s="97"/>
      <c r="K100" s="97">
        <f t="shared" ref="K100:Q100" si="78">$T$100</f>
        <v>0</v>
      </c>
      <c r="L100" s="97">
        <f t="shared" si="78"/>
        <v>0</v>
      </c>
      <c r="M100" s="97">
        <f t="shared" si="78"/>
        <v>0</v>
      </c>
      <c r="N100" s="97">
        <f t="shared" si="78"/>
        <v>0</v>
      </c>
      <c r="O100" s="97">
        <f t="shared" si="78"/>
        <v>0</v>
      </c>
      <c r="P100" s="97">
        <f t="shared" si="78"/>
        <v>0</v>
      </c>
      <c r="Q100" s="97">
        <f t="shared" si="78"/>
        <v>0</v>
      </c>
      <c r="R100" s="97">
        <f>$T$100</f>
        <v>0</v>
      </c>
      <c r="T100" s="69">
        <f>Variables!AA10*-1</f>
        <v>0</v>
      </c>
      <c r="U100" s="43" t="str">
        <f>Variables!Z10</f>
        <v>Auto E 8</v>
      </c>
      <c r="V100" s="131">
        <f>Variables!AB10</f>
        <v>0</v>
      </c>
      <c r="W100" s="240"/>
      <c r="X100" s="131"/>
      <c r="AD100" s="80"/>
      <c r="AE100" s="81"/>
      <c r="AF100" s="80"/>
      <c r="AG100" s="80"/>
      <c r="AH100" s="81"/>
      <c r="AI100" s="80"/>
      <c r="AJ100" s="82"/>
      <c r="AK100" s="80"/>
      <c r="AL100" s="82"/>
    </row>
    <row r="101" spans="4:38" x14ac:dyDescent="0.2">
      <c r="D101" s="292"/>
      <c r="E101" s="51" t="s">
        <v>4</v>
      </c>
      <c r="F101" s="37" t="str">
        <f t="shared" si="71"/>
        <v>Auto E 9</v>
      </c>
      <c r="G101" s="97"/>
      <c r="H101" s="97"/>
      <c r="I101" s="97"/>
      <c r="J101" s="97"/>
      <c r="K101" s="97">
        <f t="shared" ref="K101:Q101" si="79">$T$101</f>
        <v>0</v>
      </c>
      <c r="L101" s="97">
        <f t="shared" si="79"/>
        <v>0</v>
      </c>
      <c r="M101" s="97">
        <f t="shared" si="79"/>
        <v>0</v>
      </c>
      <c r="N101" s="97">
        <f t="shared" si="79"/>
        <v>0</v>
      </c>
      <c r="O101" s="97">
        <f t="shared" si="79"/>
        <v>0</v>
      </c>
      <c r="P101" s="97">
        <f t="shared" si="79"/>
        <v>0</v>
      </c>
      <c r="Q101" s="97">
        <f t="shared" si="79"/>
        <v>0</v>
      </c>
      <c r="R101" s="97">
        <f>$T$101</f>
        <v>0</v>
      </c>
      <c r="T101" s="69">
        <f>Variables!AA11*-1</f>
        <v>0</v>
      </c>
      <c r="U101" s="43" t="str">
        <f>Variables!Z11</f>
        <v>Auto E 9</v>
      </c>
      <c r="V101" s="131">
        <f>Variables!AB11</f>
        <v>0</v>
      </c>
      <c r="W101" s="240"/>
      <c r="X101" s="131"/>
      <c r="AD101" s="80"/>
      <c r="AE101" s="81"/>
      <c r="AF101" s="80"/>
      <c r="AG101" s="80"/>
      <c r="AH101" s="81"/>
      <c r="AI101" s="80"/>
      <c r="AJ101" s="82"/>
      <c r="AK101" s="80"/>
      <c r="AL101" s="82"/>
    </row>
    <row r="102" spans="4:38" x14ac:dyDescent="0.2">
      <c r="D102" s="292"/>
      <c r="E102" s="51" t="s">
        <v>4</v>
      </c>
      <c r="F102" s="37" t="str">
        <f t="shared" si="71"/>
        <v>Auto E 10</v>
      </c>
      <c r="G102" s="97"/>
      <c r="H102" s="97"/>
      <c r="I102" s="97"/>
      <c r="J102" s="97"/>
      <c r="K102" s="97">
        <f t="shared" ref="K102:Q102" si="80">$T$102</f>
        <v>0</v>
      </c>
      <c r="L102" s="97">
        <f t="shared" si="80"/>
        <v>0</v>
      </c>
      <c r="M102" s="97">
        <f t="shared" si="80"/>
        <v>0</v>
      </c>
      <c r="N102" s="97">
        <f t="shared" si="80"/>
        <v>0</v>
      </c>
      <c r="O102" s="97">
        <f t="shared" si="80"/>
        <v>0</v>
      </c>
      <c r="P102" s="97">
        <f t="shared" si="80"/>
        <v>0</v>
      </c>
      <c r="Q102" s="97">
        <f t="shared" si="80"/>
        <v>0</v>
      </c>
      <c r="R102" s="97">
        <f>$T$102</f>
        <v>0</v>
      </c>
      <c r="T102" s="69">
        <f>Variables!AA12*-1</f>
        <v>0</v>
      </c>
      <c r="U102" s="43" t="str">
        <f>Variables!Z12</f>
        <v>Auto E 10</v>
      </c>
      <c r="V102" s="131">
        <f>Variables!AB12</f>
        <v>0</v>
      </c>
      <c r="W102" s="240"/>
      <c r="X102" s="131"/>
      <c r="AD102" s="80"/>
      <c r="AE102" s="81"/>
      <c r="AF102" s="80"/>
      <c r="AG102" s="80"/>
      <c r="AH102" s="81"/>
      <c r="AI102" s="80"/>
      <c r="AJ102" s="82"/>
      <c r="AK102" s="80"/>
      <c r="AL102" s="82"/>
    </row>
    <row r="103" spans="4:38" x14ac:dyDescent="0.2">
      <c r="D103" s="292"/>
      <c r="E103" s="68" t="s">
        <v>6</v>
      </c>
      <c r="F103" s="37" t="str">
        <f>U103</f>
        <v>Dining Out</v>
      </c>
      <c r="G103" s="97"/>
      <c r="H103" s="97"/>
      <c r="I103" s="97"/>
      <c r="J103" s="97"/>
      <c r="K103" s="97">
        <f t="shared" ref="K103:Q103" si="81">$T$103</f>
        <v>-125</v>
      </c>
      <c r="L103" s="97">
        <f t="shared" si="81"/>
        <v>-125</v>
      </c>
      <c r="M103" s="97">
        <f t="shared" si="81"/>
        <v>-125</v>
      </c>
      <c r="N103" s="97">
        <f t="shared" si="81"/>
        <v>-125</v>
      </c>
      <c r="O103" s="97">
        <f t="shared" si="81"/>
        <v>-125</v>
      </c>
      <c r="P103" s="97">
        <f t="shared" si="81"/>
        <v>-125</v>
      </c>
      <c r="Q103" s="97">
        <f t="shared" si="81"/>
        <v>-125</v>
      </c>
      <c r="R103" s="97">
        <f>$T$103</f>
        <v>-125</v>
      </c>
      <c r="S103" s="43"/>
      <c r="T103" s="69">
        <f>Variables!AA14*-1</f>
        <v>-125</v>
      </c>
      <c r="U103" s="43" t="str">
        <f>Variables!Z14</f>
        <v>Dining Out</v>
      </c>
      <c r="V103" s="131">
        <f>Variables!AB14</f>
        <v>0</v>
      </c>
      <c r="W103" s="240"/>
      <c r="X103" s="131"/>
      <c r="AD103" s="80"/>
      <c r="AE103" s="81"/>
      <c r="AF103" s="80"/>
      <c r="AG103" s="80"/>
      <c r="AH103" s="81"/>
      <c r="AI103" s="80"/>
      <c r="AJ103" s="82"/>
      <c r="AK103" s="80"/>
      <c r="AL103" s="82"/>
    </row>
    <row r="104" spans="4:38" x14ac:dyDescent="0.2">
      <c r="D104" s="292"/>
      <c r="E104" s="68" t="s">
        <v>6</v>
      </c>
      <c r="F104" s="37" t="str">
        <f>U104</f>
        <v>Entertainment</v>
      </c>
      <c r="G104" s="97"/>
      <c r="H104" s="97"/>
      <c r="I104" s="97"/>
      <c r="J104" s="97"/>
      <c r="K104" s="97">
        <f t="shared" ref="K104:Q104" si="82">$T$104</f>
        <v>-150</v>
      </c>
      <c r="L104" s="97">
        <f t="shared" si="82"/>
        <v>-150</v>
      </c>
      <c r="M104" s="97">
        <f t="shared" si="82"/>
        <v>-150</v>
      </c>
      <c r="N104" s="97">
        <f t="shared" si="82"/>
        <v>-150</v>
      </c>
      <c r="O104" s="97">
        <f t="shared" si="82"/>
        <v>-150</v>
      </c>
      <c r="P104" s="97">
        <f t="shared" si="82"/>
        <v>-150</v>
      </c>
      <c r="Q104" s="97">
        <f t="shared" si="82"/>
        <v>-150</v>
      </c>
      <c r="R104" s="97">
        <f>$T$104</f>
        <v>-150</v>
      </c>
      <c r="S104" s="43"/>
      <c r="T104" s="69">
        <f>Variables!AA15*-1</f>
        <v>-150</v>
      </c>
      <c r="U104" s="43" t="str">
        <f>Variables!Z15</f>
        <v>Entertainment</v>
      </c>
      <c r="V104" s="131">
        <f>Variables!AB15</f>
        <v>0</v>
      </c>
      <c r="W104" s="240"/>
      <c r="X104" s="131"/>
      <c r="AD104" s="80"/>
      <c r="AE104" s="81"/>
      <c r="AF104" s="80"/>
      <c r="AG104" s="80"/>
      <c r="AH104" s="81"/>
      <c r="AI104" s="80"/>
      <c r="AJ104" s="82"/>
      <c r="AK104" s="80"/>
      <c r="AL104" s="82"/>
    </row>
    <row r="105" spans="4:38" x14ac:dyDescent="0.2">
      <c r="D105" s="292"/>
      <c r="E105" s="68" t="s">
        <v>6</v>
      </c>
      <c r="F105" s="37" t="str">
        <f t="shared" ref="F105:F112" si="83">U105</f>
        <v>Manual E 3</v>
      </c>
      <c r="G105" s="97"/>
      <c r="H105" s="97"/>
      <c r="I105" s="97"/>
      <c r="J105" s="97"/>
      <c r="K105" s="97">
        <f t="shared" ref="K105:Q105" si="84">$T$105</f>
        <v>0</v>
      </c>
      <c r="L105" s="97">
        <f t="shared" si="84"/>
        <v>0</v>
      </c>
      <c r="M105" s="97">
        <f t="shared" si="84"/>
        <v>0</v>
      </c>
      <c r="N105" s="97">
        <f t="shared" si="84"/>
        <v>0</v>
      </c>
      <c r="O105" s="97">
        <f t="shared" si="84"/>
        <v>0</v>
      </c>
      <c r="P105" s="97">
        <f t="shared" si="84"/>
        <v>0</v>
      </c>
      <c r="Q105" s="97">
        <f t="shared" si="84"/>
        <v>0</v>
      </c>
      <c r="R105" s="97">
        <f>$T$105</f>
        <v>0</v>
      </c>
      <c r="T105" s="69">
        <f>Variables!AA16*-1</f>
        <v>0</v>
      </c>
      <c r="U105" s="43" t="str">
        <f>Variables!Z16</f>
        <v>Manual E 3</v>
      </c>
      <c r="V105" s="131">
        <f>Variables!AB16</f>
        <v>0</v>
      </c>
      <c r="W105" s="240"/>
      <c r="X105" s="131"/>
      <c r="AD105" s="80"/>
      <c r="AE105" s="81"/>
      <c r="AF105" s="80"/>
      <c r="AG105" s="80"/>
      <c r="AH105" s="81"/>
      <c r="AI105" s="80"/>
      <c r="AJ105" s="82"/>
      <c r="AK105" s="80"/>
      <c r="AL105" s="82"/>
    </row>
    <row r="106" spans="4:38" x14ac:dyDescent="0.2">
      <c r="D106" s="292"/>
      <c r="E106" s="68" t="s">
        <v>6</v>
      </c>
      <c r="F106" s="37" t="str">
        <f t="shared" si="83"/>
        <v>Manual E 4</v>
      </c>
      <c r="G106" s="97"/>
      <c r="H106" s="97"/>
      <c r="I106" s="97"/>
      <c r="J106" s="97"/>
      <c r="K106" s="97">
        <f t="shared" ref="K106:Q106" si="85">$T$106</f>
        <v>0</v>
      </c>
      <c r="L106" s="97">
        <f t="shared" si="85"/>
        <v>0</v>
      </c>
      <c r="M106" s="97">
        <f t="shared" si="85"/>
        <v>0</v>
      </c>
      <c r="N106" s="97">
        <f t="shared" si="85"/>
        <v>0</v>
      </c>
      <c r="O106" s="97">
        <f t="shared" si="85"/>
        <v>0</v>
      </c>
      <c r="P106" s="97">
        <f t="shared" si="85"/>
        <v>0</v>
      </c>
      <c r="Q106" s="97">
        <f t="shared" si="85"/>
        <v>0</v>
      </c>
      <c r="R106" s="97">
        <f>$T$106</f>
        <v>0</v>
      </c>
      <c r="T106" s="69">
        <f>Variables!AA17*-1</f>
        <v>0</v>
      </c>
      <c r="U106" s="43" t="str">
        <f>Variables!Z17</f>
        <v>Manual E 4</v>
      </c>
      <c r="V106" s="131">
        <f>Variables!AB17</f>
        <v>0</v>
      </c>
      <c r="W106" s="240"/>
      <c r="X106" s="131"/>
      <c r="AD106" s="80"/>
      <c r="AE106" s="81"/>
      <c r="AF106" s="80"/>
      <c r="AG106" s="80"/>
      <c r="AH106" s="81"/>
      <c r="AI106" s="80"/>
      <c r="AJ106" s="82"/>
      <c r="AK106" s="80"/>
      <c r="AL106" s="82"/>
    </row>
    <row r="107" spans="4:38" x14ac:dyDescent="0.2">
      <c r="D107" s="292"/>
      <c r="E107" s="68" t="s">
        <v>6</v>
      </c>
      <c r="F107" s="37" t="str">
        <f t="shared" si="83"/>
        <v>Manual E 5</v>
      </c>
      <c r="G107" s="97"/>
      <c r="H107" s="97"/>
      <c r="I107" s="97"/>
      <c r="J107" s="97"/>
      <c r="K107" s="97">
        <f t="shared" ref="K107:Q107" si="86">$T$107</f>
        <v>0</v>
      </c>
      <c r="L107" s="97">
        <f t="shared" si="86"/>
        <v>0</v>
      </c>
      <c r="M107" s="97">
        <f t="shared" si="86"/>
        <v>0</v>
      </c>
      <c r="N107" s="97">
        <f t="shared" si="86"/>
        <v>0</v>
      </c>
      <c r="O107" s="97">
        <f t="shared" si="86"/>
        <v>0</v>
      </c>
      <c r="P107" s="97">
        <f t="shared" si="86"/>
        <v>0</v>
      </c>
      <c r="Q107" s="97">
        <f t="shared" si="86"/>
        <v>0</v>
      </c>
      <c r="R107" s="97">
        <f>$T$107</f>
        <v>0</v>
      </c>
      <c r="T107" s="69">
        <f>Variables!AA18*-1</f>
        <v>0</v>
      </c>
      <c r="U107" s="43" t="str">
        <f>Variables!Z18</f>
        <v>Manual E 5</v>
      </c>
      <c r="V107" s="131">
        <f>Variables!AB18</f>
        <v>0</v>
      </c>
      <c r="W107" s="240"/>
      <c r="X107" s="131"/>
      <c r="AD107" s="80"/>
      <c r="AE107" s="81"/>
      <c r="AF107" s="80"/>
      <c r="AG107" s="80"/>
      <c r="AH107" s="81"/>
      <c r="AI107" s="80"/>
      <c r="AJ107" s="82"/>
      <c r="AK107" s="80"/>
      <c r="AL107" s="82"/>
    </row>
    <row r="108" spans="4:38" x14ac:dyDescent="0.2">
      <c r="D108" s="292"/>
      <c r="E108" s="68" t="s">
        <v>6</v>
      </c>
      <c r="F108" s="37" t="str">
        <f t="shared" si="83"/>
        <v>Manual E 6</v>
      </c>
      <c r="G108" s="97"/>
      <c r="H108" s="97"/>
      <c r="I108" s="97"/>
      <c r="J108" s="97"/>
      <c r="K108" s="97">
        <f t="shared" ref="K108:Q108" si="87">$T$108</f>
        <v>0</v>
      </c>
      <c r="L108" s="97">
        <f t="shared" si="87"/>
        <v>0</v>
      </c>
      <c r="M108" s="97">
        <f t="shared" si="87"/>
        <v>0</v>
      </c>
      <c r="N108" s="97">
        <f t="shared" si="87"/>
        <v>0</v>
      </c>
      <c r="O108" s="97">
        <f t="shared" si="87"/>
        <v>0</v>
      </c>
      <c r="P108" s="97">
        <f t="shared" si="87"/>
        <v>0</v>
      </c>
      <c r="Q108" s="97">
        <f t="shared" si="87"/>
        <v>0</v>
      </c>
      <c r="R108" s="97">
        <f>$T$108</f>
        <v>0</v>
      </c>
      <c r="T108" s="69">
        <f>Variables!AA19*-1</f>
        <v>0</v>
      </c>
      <c r="U108" s="43" t="str">
        <f>Variables!Z19</f>
        <v>Manual E 6</v>
      </c>
      <c r="V108" s="131">
        <f>Variables!AB19</f>
        <v>0</v>
      </c>
      <c r="W108" s="240"/>
      <c r="X108" s="131"/>
      <c r="AD108" s="80"/>
      <c r="AE108" s="81"/>
      <c r="AF108" s="80"/>
      <c r="AG108" s="80"/>
      <c r="AH108" s="81"/>
      <c r="AI108" s="80"/>
      <c r="AJ108" s="82"/>
      <c r="AK108" s="80"/>
      <c r="AL108" s="82"/>
    </row>
    <row r="109" spans="4:38" x14ac:dyDescent="0.2">
      <c r="D109" s="292"/>
      <c r="E109" s="68" t="s">
        <v>6</v>
      </c>
      <c r="F109" s="37" t="str">
        <f t="shared" si="83"/>
        <v>Manual E 7</v>
      </c>
      <c r="G109" s="97"/>
      <c r="H109" s="97"/>
      <c r="I109" s="97"/>
      <c r="J109" s="97"/>
      <c r="K109" s="97">
        <f t="shared" ref="K109:Q109" si="88">$T$109</f>
        <v>0</v>
      </c>
      <c r="L109" s="97">
        <f t="shared" si="88"/>
        <v>0</v>
      </c>
      <c r="M109" s="97">
        <f t="shared" si="88"/>
        <v>0</v>
      </c>
      <c r="N109" s="97">
        <f t="shared" si="88"/>
        <v>0</v>
      </c>
      <c r="O109" s="97">
        <f t="shared" si="88"/>
        <v>0</v>
      </c>
      <c r="P109" s="97">
        <f t="shared" si="88"/>
        <v>0</v>
      </c>
      <c r="Q109" s="97">
        <f t="shared" si="88"/>
        <v>0</v>
      </c>
      <c r="R109" s="97">
        <f>$T$109</f>
        <v>0</v>
      </c>
      <c r="T109" s="69">
        <f>Variables!AA20*-1</f>
        <v>0</v>
      </c>
      <c r="U109" s="43" t="str">
        <f>Variables!Z20</f>
        <v>Manual E 7</v>
      </c>
      <c r="V109" s="131">
        <f>Variables!AB20</f>
        <v>0</v>
      </c>
      <c r="W109" s="240"/>
      <c r="X109" s="131"/>
      <c r="AD109" s="80"/>
      <c r="AE109" s="81"/>
      <c r="AF109" s="80"/>
      <c r="AG109" s="80"/>
      <c r="AH109" s="81"/>
      <c r="AI109" s="80"/>
      <c r="AJ109" s="82"/>
      <c r="AK109" s="80"/>
      <c r="AL109" s="82"/>
    </row>
    <row r="110" spans="4:38" x14ac:dyDescent="0.2">
      <c r="D110" s="292"/>
      <c r="E110" s="68" t="s">
        <v>6</v>
      </c>
      <c r="F110" s="37" t="str">
        <f t="shared" si="83"/>
        <v>Manual E 8</v>
      </c>
      <c r="G110" s="97"/>
      <c r="H110" s="97"/>
      <c r="I110" s="97"/>
      <c r="J110" s="97"/>
      <c r="K110" s="97">
        <f t="shared" ref="K110:Q110" si="89">$T$110</f>
        <v>0</v>
      </c>
      <c r="L110" s="97">
        <f t="shared" si="89"/>
        <v>0</v>
      </c>
      <c r="M110" s="97">
        <f t="shared" si="89"/>
        <v>0</v>
      </c>
      <c r="N110" s="97">
        <f t="shared" si="89"/>
        <v>0</v>
      </c>
      <c r="O110" s="97">
        <f t="shared" si="89"/>
        <v>0</v>
      </c>
      <c r="P110" s="97">
        <f t="shared" si="89"/>
        <v>0</v>
      </c>
      <c r="Q110" s="97">
        <f t="shared" si="89"/>
        <v>0</v>
      </c>
      <c r="R110" s="97">
        <f>$T$110</f>
        <v>0</v>
      </c>
      <c r="T110" s="69">
        <f>Variables!AA21*-1</f>
        <v>0</v>
      </c>
      <c r="U110" s="43" t="str">
        <f>Variables!Z21</f>
        <v>Manual E 8</v>
      </c>
      <c r="V110" s="131">
        <f>Variables!AB21</f>
        <v>0</v>
      </c>
      <c r="W110" s="240"/>
      <c r="X110" s="131"/>
      <c r="AD110" s="80"/>
      <c r="AE110" s="81"/>
      <c r="AF110" s="80"/>
      <c r="AG110" s="80"/>
      <c r="AH110" s="81"/>
      <c r="AI110" s="80"/>
      <c r="AJ110" s="82"/>
      <c r="AK110" s="80"/>
      <c r="AL110" s="82"/>
    </row>
    <row r="111" spans="4:38" x14ac:dyDescent="0.2">
      <c r="D111" s="292"/>
      <c r="E111" s="68" t="s">
        <v>6</v>
      </c>
      <c r="F111" s="37" t="str">
        <f t="shared" si="83"/>
        <v>Manual E 9</v>
      </c>
      <c r="G111" s="97"/>
      <c r="H111" s="97"/>
      <c r="I111" s="97"/>
      <c r="J111" s="97"/>
      <c r="K111" s="97">
        <f t="shared" ref="K111:Q111" si="90">$T$111</f>
        <v>0</v>
      </c>
      <c r="L111" s="97">
        <f t="shared" si="90"/>
        <v>0</v>
      </c>
      <c r="M111" s="97">
        <f t="shared" si="90"/>
        <v>0</v>
      </c>
      <c r="N111" s="97">
        <f t="shared" si="90"/>
        <v>0</v>
      </c>
      <c r="O111" s="97">
        <f t="shared" si="90"/>
        <v>0</v>
      </c>
      <c r="P111" s="97">
        <f t="shared" si="90"/>
        <v>0</v>
      </c>
      <c r="Q111" s="97">
        <f t="shared" si="90"/>
        <v>0</v>
      </c>
      <c r="R111" s="97">
        <f>$T$111</f>
        <v>0</v>
      </c>
      <c r="T111" s="69">
        <f>Variables!AA22*-1</f>
        <v>0</v>
      </c>
      <c r="U111" s="43" t="str">
        <f>Variables!Z22</f>
        <v>Manual E 9</v>
      </c>
      <c r="V111" s="131">
        <f>Variables!AB22</f>
        <v>0</v>
      </c>
      <c r="W111" s="240"/>
      <c r="X111" s="131"/>
      <c r="AD111" s="80"/>
      <c r="AE111" s="81"/>
      <c r="AF111" s="80"/>
      <c r="AG111" s="80"/>
      <c r="AH111" s="81"/>
      <c r="AI111" s="80"/>
      <c r="AJ111" s="82"/>
      <c r="AK111" s="80"/>
      <c r="AL111" s="82"/>
    </row>
    <row r="112" spans="4:38" x14ac:dyDescent="0.2">
      <c r="D112" s="293"/>
      <c r="E112" s="68" t="s">
        <v>6</v>
      </c>
      <c r="F112" s="37" t="str">
        <f t="shared" si="83"/>
        <v>Manual E 10</v>
      </c>
      <c r="G112" s="97"/>
      <c r="H112" s="97"/>
      <c r="I112" s="97"/>
      <c r="J112" s="97"/>
      <c r="K112" s="97">
        <f t="shared" ref="K112:Q112" si="91">$T$112</f>
        <v>0</v>
      </c>
      <c r="L112" s="97">
        <f t="shared" si="91"/>
        <v>0</v>
      </c>
      <c r="M112" s="97">
        <f t="shared" si="91"/>
        <v>0</v>
      </c>
      <c r="N112" s="97">
        <f t="shared" si="91"/>
        <v>0</v>
      </c>
      <c r="O112" s="97">
        <f t="shared" si="91"/>
        <v>0</v>
      </c>
      <c r="P112" s="97">
        <f t="shared" si="91"/>
        <v>0</v>
      </c>
      <c r="Q112" s="97">
        <f t="shared" si="91"/>
        <v>0</v>
      </c>
      <c r="R112" s="97">
        <f>$T$112</f>
        <v>0</v>
      </c>
      <c r="T112" s="69">
        <f>Variables!AA23*-1</f>
        <v>0</v>
      </c>
      <c r="U112" s="43" t="str">
        <f>Variables!Z23</f>
        <v>Manual E 10</v>
      </c>
      <c r="V112" s="131">
        <f>Variables!AB23</f>
        <v>0</v>
      </c>
      <c r="W112" s="241"/>
      <c r="X112" s="131"/>
      <c r="AD112" s="80"/>
      <c r="AE112" s="81"/>
      <c r="AF112" s="80"/>
      <c r="AG112" s="80"/>
      <c r="AH112" s="81"/>
      <c r="AI112" s="80"/>
      <c r="AJ112" s="82"/>
      <c r="AK112" s="80"/>
      <c r="AL112" s="82"/>
    </row>
    <row r="113" spans="4:38" x14ac:dyDescent="0.2">
      <c r="D113" s="294" t="str">
        <f>Variables!$AD$2</f>
        <v>Other Subscriptions</v>
      </c>
      <c r="E113" s="51" t="s">
        <v>4</v>
      </c>
      <c r="F113" s="38" t="str">
        <f>U113</f>
        <v>Office365</v>
      </c>
      <c r="G113" s="38"/>
      <c r="H113" s="38"/>
      <c r="I113" s="38"/>
      <c r="J113" s="38"/>
      <c r="K113" s="38">
        <f t="shared" ref="K113:R113" si="92">$T$113</f>
        <v>-9.99</v>
      </c>
      <c r="L113" s="38">
        <f t="shared" si="92"/>
        <v>-9.99</v>
      </c>
      <c r="M113" s="38">
        <f t="shared" si="92"/>
        <v>-9.99</v>
      </c>
      <c r="N113" s="38">
        <f t="shared" si="92"/>
        <v>-9.99</v>
      </c>
      <c r="O113" s="38">
        <f t="shared" si="92"/>
        <v>-9.99</v>
      </c>
      <c r="P113" s="38">
        <f t="shared" si="92"/>
        <v>-9.99</v>
      </c>
      <c r="Q113" s="38">
        <f t="shared" si="92"/>
        <v>-9.99</v>
      </c>
      <c r="R113" s="38">
        <f t="shared" si="92"/>
        <v>-9.99</v>
      </c>
      <c r="S113" s="43"/>
      <c r="T113" s="53">
        <f>Variables!AE3*-1</f>
        <v>-9.99</v>
      </c>
      <c r="U113" s="98" t="str">
        <f>Variables!AD3</f>
        <v>Office365</v>
      </c>
      <c r="V113" s="131">
        <f>Variables!AF3</f>
        <v>0</v>
      </c>
      <c r="W113" s="242" t="str">
        <f>Variables!$AD$2</f>
        <v>Other Subscriptions</v>
      </c>
      <c r="X113" s="131"/>
      <c r="AD113" s="80"/>
      <c r="AE113" s="81"/>
      <c r="AF113" s="80"/>
      <c r="AG113" s="80"/>
      <c r="AH113" s="81"/>
      <c r="AI113" s="80"/>
      <c r="AJ113" s="82"/>
      <c r="AK113" s="80"/>
      <c r="AL113" s="82"/>
    </row>
    <row r="114" spans="4:38" x14ac:dyDescent="0.2">
      <c r="D114" s="295"/>
      <c r="E114" s="51" t="s">
        <v>4</v>
      </c>
      <c r="F114" s="38" t="str">
        <f t="shared" ref="F114:F132" si="93">U114</f>
        <v>Auto Sub 2</v>
      </c>
      <c r="G114" s="38"/>
      <c r="H114" s="38"/>
      <c r="I114" s="38"/>
      <c r="J114" s="38"/>
      <c r="K114" s="38">
        <f t="shared" ref="K114:R114" si="94">$T$114</f>
        <v>-8</v>
      </c>
      <c r="L114" s="38">
        <f t="shared" si="94"/>
        <v>-8</v>
      </c>
      <c r="M114" s="38">
        <f t="shared" si="94"/>
        <v>-8</v>
      </c>
      <c r="N114" s="38">
        <f t="shared" si="94"/>
        <v>-8</v>
      </c>
      <c r="O114" s="38">
        <f t="shared" si="94"/>
        <v>-8</v>
      </c>
      <c r="P114" s="38">
        <f t="shared" si="94"/>
        <v>-8</v>
      </c>
      <c r="Q114" s="38">
        <f t="shared" si="94"/>
        <v>-8</v>
      </c>
      <c r="R114" s="38">
        <f t="shared" si="94"/>
        <v>-8</v>
      </c>
      <c r="S114" s="43"/>
      <c r="T114" s="53">
        <f>Variables!AE4*-1</f>
        <v>-8</v>
      </c>
      <c r="U114" s="98" t="str">
        <f>Variables!AD4</f>
        <v>Auto Sub 2</v>
      </c>
      <c r="V114" s="131">
        <f>Variables!AF4</f>
        <v>0</v>
      </c>
      <c r="W114" s="243"/>
      <c r="X114" s="131"/>
      <c r="AD114" s="80"/>
      <c r="AE114" s="81"/>
      <c r="AF114" s="80"/>
      <c r="AG114" s="80"/>
      <c r="AH114" s="81"/>
      <c r="AI114" s="80"/>
      <c r="AJ114" s="82"/>
      <c r="AK114" s="80"/>
      <c r="AL114" s="82"/>
    </row>
    <row r="115" spans="4:38" x14ac:dyDescent="0.2">
      <c r="D115" s="295"/>
      <c r="E115" s="51" t="s">
        <v>4</v>
      </c>
      <c r="F115" s="38" t="str">
        <f t="shared" si="93"/>
        <v>Auto Sub 3</v>
      </c>
      <c r="G115" s="38"/>
      <c r="H115" s="38"/>
      <c r="I115" s="38"/>
      <c r="J115" s="38"/>
      <c r="K115" s="38">
        <f t="shared" ref="K115:R115" si="95">$T$115</f>
        <v>0</v>
      </c>
      <c r="L115" s="38">
        <f t="shared" si="95"/>
        <v>0</v>
      </c>
      <c r="M115" s="38">
        <f t="shared" si="95"/>
        <v>0</v>
      </c>
      <c r="N115" s="38">
        <f t="shared" si="95"/>
        <v>0</v>
      </c>
      <c r="O115" s="38">
        <f t="shared" si="95"/>
        <v>0</v>
      </c>
      <c r="P115" s="38">
        <f t="shared" si="95"/>
        <v>0</v>
      </c>
      <c r="Q115" s="38">
        <f t="shared" si="95"/>
        <v>0</v>
      </c>
      <c r="R115" s="38">
        <f t="shared" si="95"/>
        <v>0</v>
      </c>
      <c r="S115" s="43"/>
      <c r="T115" s="53">
        <f>Variables!AE5*-1</f>
        <v>0</v>
      </c>
      <c r="U115" s="98" t="str">
        <f>Variables!AD5</f>
        <v>Auto Sub 3</v>
      </c>
      <c r="V115" s="131">
        <f>Variables!AF5</f>
        <v>0</v>
      </c>
      <c r="W115" s="243"/>
      <c r="X115" s="131"/>
      <c r="AD115" s="80"/>
      <c r="AE115" s="81"/>
      <c r="AF115" s="80"/>
      <c r="AG115" s="80"/>
      <c r="AH115" s="81"/>
      <c r="AI115" s="80"/>
      <c r="AJ115" s="82"/>
      <c r="AK115" s="80"/>
      <c r="AL115" s="82"/>
    </row>
    <row r="116" spans="4:38" x14ac:dyDescent="0.2">
      <c r="D116" s="295"/>
      <c r="E116" s="51" t="s">
        <v>4</v>
      </c>
      <c r="F116" s="38" t="str">
        <f t="shared" si="93"/>
        <v>Auto Sub 4</v>
      </c>
      <c r="G116" s="38"/>
      <c r="H116" s="38"/>
      <c r="I116" s="38"/>
      <c r="J116" s="38"/>
      <c r="K116" s="38">
        <f t="shared" ref="K116:R116" si="96">$T$116</f>
        <v>0</v>
      </c>
      <c r="L116" s="38">
        <f t="shared" si="96"/>
        <v>0</v>
      </c>
      <c r="M116" s="38">
        <f t="shared" si="96"/>
        <v>0</v>
      </c>
      <c r="N116" s="38">
        <f t="shared" si="96"/>
        <v>0</v>
      </c>
      <c r="O116" s="38">
        <f t="shared" si="96"/>
        <v>0</v>
      </c>
      <c r="P116" s="38">
        <f t="shared" si="96"/>
        <v>0</v>
      </c>
      <c r="Q116" s="38">
        <f t="shared" si="96"/>
        <v>0</v>
      </c>
      <c r="R116" s="38">
        <f t="shared" si="96"/>
        <v>0</v>
      </c>
      <c r="S116" s="43"/>
      <c r="T116" s="53">
        <f>Variables!AE6*-1</f>
        <v>0</v>
      </c>
      <c r="U116" s="98" t="str">
        <f>Variables!AD6</f>
        <v>Auto Sub 4</v>
      </c>
      <c r="V116" s="131">
        <f>Variables!AF6</f>
        <v>0</v>
      </c>
      <c r="W116" s="243"/>
      <c r="X116" s="131"/>
      <c r="AD116" s="80"/>
      <c r="AE116" s="81"/>
      <c r="AF116" s="80"/>
      <c r="AG116" s="80"/>
      <c r="AH116" s="81"/>
      <c r="AI116" s="80"/>
      <c r="AJ116" s="82"/>
      <c r="AK116" s="80"/>
      <c r="AL116" s="82"/>
    </row>
    <row r="117" spans="4:38" x14ac:dyDescent="0.2">
      <c r="D117" s="295"/>
      <c r="E117" s="51" t="s">
        <v>4</v>
      </c>
      <c r="F117" s="38" t="str">
        <f t="shared" si="93"/>
        <v>Auto Sub 5</v>
      </c>
      <c r="G117" s="38"/>
      <c r="H117" s="38"/>
      <c r="I117" s="38"/>
      <c r="J117" s="38"/>
      <c r="K117" s="38">
        <f t="shared" ref="K117:R117" si="97">$T$117</f>
        <v>0</v>
      </c>
      <c r="L117" s="38">
        <f t="shared" si="97"/>
        <v>0</v>
      </c>
      <c r="M117" s="38">
        <f t="shared" si="97"/>
        <v>0</v>
      </c>
      <c r="N117" s="38">
        <f t="shared" si="97"/>
        <v>0</v>
      </c>
      <c r="O117" s="38">
        <f t="shared" si="97"/>
        <v>0</v>
      </c>
      <c r="P117" s="38">
        <f t="shared" si="97"/>
        <v>0</v>
      </c>
      <c r="Q117" s="38">
        <f t="shared" si="97"/>
        <v>0</v>
      </c>
      <c r="R117" s="38">
        <f t="shared" si="97"/>
        <v>0</v>
      </c>
      <c r="S117" s="43"/>
      <c r="T117" s="53">
        <f>Variables!AE7*-1</f>
        <v>0</v>
      </c>
      <c r="U117" s="98" t="str">
        <f>Variables!AD7</f>
        <v>Auto Sub 5</v>
      </c>
      <c r="V117" s="131">
        <f>Variables!AF7</f>
        <v>0</v>
      </c>
      <c r="W117" s="243"/>
      <c r="X117" s="131"/>
      <c r="AD117" s="80"/>
      <c r="AE117" s="81"/>
      <c r="AF117" s="80"/>
      <c r="AG117" s="80"/>
      <c r="AH117" s="81"/>
      <c r="AI117" s="80"/>
      <c r="AJ117" s="82"/>
      <c r="AK117" s="80"/>
      <c r="AL117" s="82"/>
    </row>
    <row r="118" spans="4:38" x14ac:dyDescent="0.2">
      <c r="D118" s="295"/>
      <c r="E118" s="51" t="s">
        <v>4</v>
      </c>
      <c r="F118" s="38" t="str">
        <f t="shared" si="93"/>
        <v>Auto Sub 6</v>
      </c>
      <c r="G118" s="38"/>
      <c r="H118" s="38"/>
      <c r="I118" s="38"/>
      <c r="J118" s="38"/>
      <c r="K118" s="38">
        <f t="shared" ref="K118:Q118" si="98">$T$118</f>
        <v>0</v>
      </c>
      <c r="L118" s="38">
        <f t="shared" si="98"/>
        <v>0</v>
      </c>
      <c r="M118" s="38">
        <f t="shared" si="98"/>
        <v>0</v>
      </c>
      <c r="N118" s="38">
        <f t="shared" si="98"/>
        <v>0</v>
      </c>
      <c r="O118" s="38">
        <f t="shared" si="98"/>
        <v>0</v>
      </c>
      <c r="P118" s="38">
        <f t="shared" si="98"/>
        <v>0</v>
      </c>
      <c r="Q118" s="38">
        <f t="shared" si="98"/>
        <v>0</v>
      </c>
      <c r="R118" s="38">
        <f>$T$118</f>
        <v>0</v>
      </c>
      <c r="T118" s="53">
        <f>Variables!AE8*-1</f>
        <v>0</v>
      </c>
      <c r="U118" s="98" t="str">
        <f>Variables!AD8</f>
        <v>Auto Sub 6</v>
      </c>
      <c r="V118" s="131">
        <f>Variables!AF8</f>
        <v>0</v>
      </c>
      <c r="W118" s="243"/>
      <c r="X118" s="131"/>
      <c r="AD118" s="80"/>
      <c r="AE118" s="81"/>
      <c r="AF118" s="80"/>
      <c r="AG118" s="80"/>
      <c r="AH118" s="81"/>
      <c r="AI118" s="80"/>
      <c r="AJ118" s="82"/>
      <c r="AK118" s="80"/>
      <c r="AL118" s="82"/>
    </row>
    <row r="119" spans="4:38" x14ac:dyDescent="0.2">
      <c r="D119" s="295"/>
      <c r="E119" s="51" t="s">
        <v>4</v>
      </c>
      <c r="F119" s="38" t="str">
        <f t="shared" si="93"/>
        <v>Auto Sub 7</v>
      </c>
      <c r="G119" s="38"/>
      <c r="H119" s="38"/>
      <c r="I119" s="38"/>
      <c r="J119" s="38"/>
      <c r="K119" s="38">
        <f t="shared" ref="K119:Q119" si="99">$T$119</f>
        <v>0</v>
      </c>
      <c r="L119" s="38">
        <f t="shared" si="99"/>
        <v>0</v>
      </c>
      <c r="M119" s="38">
        <f t="shared" si="99"/>
        <v>0</v>
      </c>
      <c r="N119" s="38">
        <f t="shared" si="99"/>
        <v>0</v>
      </c>
      <c r="O119" s="38">
        <f t="shared" si="99"/>
        <v>0</v>
      </c>
      <c r="P119" s="38">
        <f t="shared" si="99"/>
        <v>0</v>
      </c>
      <c r="Q119" s="38">
        <f t="shared" si="99"/>
        <v>0</v>
      </c>
      <c r="R119" s="38">
        <f>$T$119</f>
        <v>0</v>
      </c>
      <c r="T119" s="53">
        <f>Variables!AE9*-1</f>
        <v>0</v>
      </c>
      <c r="U119" s="98" t="str">
        <f>Variables!AD9</f>
        <v>Auto Sub 7</v>
      </c>
      <c r="V119" s="131">
        <f>Variables!AF9</f>
        <v>0</v>
      </c>
      <c r="W119" s="243"/>
      <c r="X119" s="131"/>
      <c r="AD119" s="80"/>
      <c r="AE119" s="81"/>
      <c r="AF119" s="80"/>
      <c r="AG119" s="80"/>
      <c r="AH119" s="81"/>
      <c r="AI119" s="80"/>
      <c r="AJ119" s="82"/>
      <c r="AK119" s="80"/>
      <c r="AL119" s="82"/>
    </row>
    <row r="120" spans="4:38" x14ac:dyDescent="0.2">
      <c r="D120" s="295"/>
      <c r="E120" s="51" t="s">
        <v>4</v>
      </c>
      <c r="F120" s="38" t="str">
        <f t="shared" si="93"/>
        <v>Auto Sub 8</v>
      </c>
      <c r="G120" s="38"/>
      <c r="H120" s="38"/>
      <c r="I120" s="38"/>
      <c r="J120" s="38"/>
      <c r="K120" s="38">
        <f t="shared" ref="K120:Q120" si="100">$T$120</f>
        <v>0</v>
      </c>
      <c r="L120" s="38">
        <f t="shared" si="100"/>
        <v>0</v>
      </c>
      <c r="M120" s="38">
        <f t="shared" si="100"/>
        <v>0</v>
      </c>
      <c r="N120" s="38">
        <f t="shared" si="100"/>
        <v>0</v>
      </c>
      <c r="O120" s="38">
        <f t="shared" si="100"/>
        <v>0</v>
      </c>
      <c r="P120" s="38">
        <f t="shared" si="100"/>
        <v>0</v>
      </c>
      <c r="Q120" s="38">
        <f t="shared" si="100"/>
        <v>0</v>
      </c>
      <c r="R120" s="38">
        <f>$T$120</f>
        <v>0</v>
      </c>
      <c r="T120" s="53">
        <f>Variables!AE10*-1</f>
        <v>0</v>
      </c>
      <c r="U120" s="98" t="str">
        <f>Variables!AD10</f>
        <v>Auto Sub 8</v>
      </c>
      <c r="V120" s="131">
        <f>Variables!AF10</f>
        <v>0</v>
      </c>
      <c r="W120" s="243"/>
      <c r="X120" s="131"/>
      <c r="AD120" s="80"/>
      <c r="AE120" s="81"/>
      <c r="AF120" s="80"/>
      <c r="AG120" s="80"/>
      <c r="AH120" s="81"/>
      <c r="AI120" s="80"/>
      <c r="AJ120" s="82"/>
      <c r="AK120" s="80"/>
      <c r="AL120" s="82"/>
    </row>
    <row r="121" spans="4:38" x14ac:dyDescent="0.2">
      <c r="D121" s="295"/>
      <c r="E121" s="51" t="s">
        <v>4</v>
      </c>
      <c r="F121" s="38" t="str">
        <f t="shared" si="93"/>
        <v>Auto Sub 9</v>
      </c>
      <c r="G121" s="38"/>
      <c r="H121" s="38"/>
      <c r="I121" s="38"/>
      <c r="J121" s="38"/>
      <c r="K121" s="38">
        <f t="shared" ref="K121:Q121" si="101">$T$121</f>
        <v>0</v>
      </c>
      <c r="L121" s="38">
        <f t="shared" si="101"/>
        <v>0</v>
      </c>
      <c r="M121" s="38">
        <f t="shared" si="101"/>
        <v>0</v>
      </c>
      <c r="N121" s="38">
        <f t="shared" si="101"/>
        <v>0</v>
      </c>
      <c r="O121" s="38">
        <f t="shared" si="101"/>
        <v>0</v>
      </c>
      <c r="P121" s="38">
        <f t="shared" si="101"/>
        <v>0</v>
      </c>
      <c r="Q121" s="38">
        <f t="shared" si="101"/>
        <v>0</v>
      </c>
      <c r="R121" s="38">
        <f>$T$121</f>
        <v>0</v>
      </c>
      <c r="T121" s="53">
        <f>Variables!AE11*-1</f>
        <v>0</v>
      </c>
      <c r="U121" s="98" t="str">
        <f>Variables!AD11</f>
        <v>Auto Sub 9</v>
      </c>
      <c r="V121" s="131">
        <f>Variables!AF11</f>
        <v>0</v>
      </c>
      <c r="W121" s="243"/>
      <c r="X121" s="131"/>
      <c r="AD121" s="80"/>
      <c r="AE121" s="81"/>
      <c r="AF121" s="80"/>
      <c r="AG121" s="80"/>
      <c r="AH121" s="81"/>
      <c r="AI121" s="80"/>
      <c r="AJ121" s="82"/>
      <c r="AK121" s="80"/>
      <c r="AL121" s="82"/>
    </row>
    <row r="122" spans="4:38" x14ac:dyDescent="0.2">
      <c r="D122" s="295"/>
      <c r="E122" s="51" t="s">
        <v>4</v>
      </c>
      <c r="F122" s="38" t="str">
        <f t="shared" si="93"/>
        <v>Auto Sub 10</v>
      </c>
      <c r="G122" s="38"/>
      <c r="H122" s="38"/>
      <c r="I122" s="38"/>
      <c r="J122" s="38"/>
      <c r="K122" s="38">
        <f t="shared" ref="K122:Q122" si="102">$T$122</f>
        <v>0</v>
      </c>
      <c r="L122" s="38">
        <f t="shared" si="102"/>
        <v>0</v>
      </c>
      <c r="M122" s="38">
        <f t="shared" si="102"/>
        <v>0</v>
      </c>
      <c r="N122" s="38">
        <f t="shared" si="102"/>
        <v>0</v>
      </c>
      <c r="O122" s="38">
        <f t="shared" si="102"/>
        <v>0</v>
      </c>
      <c r="P122" s="38">
        <f t="shared" si="102"/>
        <v>0</v>
      </c>
      <c r="Q122" s="38">
        <f t="shared" si="102"/>
        <v>0</v>
      </c>
      <c r="R122" s="38">
        <f>$T$122</f>
        <v>0</v>
      </c>
      <c r="T122" s="53">
        <f>Variables!AE12*-1</f>
        <v>0</v>
      </c>
      <c r="U122" s="98" t="str">
        <f>Variables!AD12</f>
        <v>Auto Sub 10</v>
      </c>
      <c r="V122" s="131">
        <f>Variables!AF12</f>
        <v>0</v>
      </c>
      <c r="W122" s="243"/>
      <c r="X122" s="131"/>
      <c r="AD122" s="80"/>
      <c r="AE122" s="81"/>
      <c r="AF122" s="80"/>
      <c r="AG122" s="80"/>
      <c r="AH122" s="81"/>
      <c r="AI122" s="80"/>
      <c r="AJ122" s="82"/>
      <c r="AK122" s="80"/>
      <c r="AL122" s="82"/>
    </row>
    <row r="123" spans="4:38" x14ac:dyDescent="0.2">
      <c r="D123" s="295"/>
      <c r="E123" s="68" t="s">
        <v>6</v>
      </c>
      <c r="F123" s="38" t="str">
        <f t="shared" si="93"/>
        <v>Manual Sub 1</v>
      </c>
      <c r="G123" s="38"/>
      <c r="H123" s="38"/>
      <c r="I123" s="38"/>
      <c r="J123" s="38"/>
      <c r="K123" s="38">
        <f t="shared" ref="K123:Q123" si="103">$T$123</f>
        <v>0</v>
      </c>
      <c r="L123" s="38">
        <f t="shared" si="103"/>
        <v>0</v>
      </c>
      <c r="M123" s="38">
        <f t="shared" si="103"/>
        <v>0</v>
      </c>
      <c r="N123" s="38">
        <f t="shared" si="103"/>
        <v>0</v>
      </c>
      <c r="O123" s="38">
        <f t="shared" si="103"/>
        <v>0</v>
      </c>
      <c r="P123" s="38">
        <f t="shared" si="103"/>
        <v>0</v>
      </c>
      <c r="Q123" s="38">
        <f t="shared" si="103"/>
        <v>0</v>
      </c>
      <c r="R123" s="38">
        <f>$T$123</f>
        <v>0</v>
      </c>
      <c r="T123" s="53">
        <f>Variables!AE14*-1</f>
        <v>0</v>
      </c>
      <c r="U123" s="98" t="str">
        <f>Variables!AD14</f>
        <v>Manual Sub 1</v>
      </c>
      <c r="V123" s="141">
        <f>Variables!AF14</f>
        <v>0</v>
      </c>
      <c r="W123" s="243"/>
      <c r="X123" s="141"/>
      <c r="AD123" s="80"/>
      <c r="AE123" s="81"/>
      <c r="AF123" s="80"/>
      <c r="AG123" s="80"/>
      <c r="AH123" s="81"/>
      <c r="AI123" s="80"/>
      <c r="AJ123" s="82"/>
      <c r="AK123" s="80"/>
      <c r="AL123" s="82"/>
    </row>
    <row r="124" spans="4:38" x14ac:dyDescent="0.2">
      <c r="D124" s="295"/>
      <c r="E124" s="68" t="s">
        <v>6</v>
      </c>
      <c r="F124" s="38" t="str">
        <f t="shared" si="93"/>
        <v>Manual Sub 2</v>
      </c>
      <c r="G124" s="38"/>
      <c r="H124" s="38"/>
      <c r="I124" s="38"/>
      <c r="J124" s="38"/>
      <c r="K124" s="38">
        <f t="shared" ref="K124:Q124" si="104">$T$124</f>
        <v>0</v>
      </c>
      <c r="L124" s="38">
        <f t="shared" si="104"/>
        <v>0</v>
      </c>
      <c r="M124" s="38">
        <f t="shared" si="104"/>
        <v>0</v>
      </c>
      <c r="N124" s="38">
        <f t="shared" si="104"/>
        <v>0</v>
      </c>
      <c r="O124" s="38">
        <f t="shared" si="104"/>
        <v>0</v>
      </c>
      <c r="P124" s="38">
        <f t="shared" si="104"/>
        <v>0</v>
      </c>
      <c r="Q124" s="38">
        <f t="shared" si="104"/>
        <v>0</v>
      </c>
      <c r="R124" s="38">
        <f>$T$124</f>
        <v>0</v>
      </c>
      <c r="T124" s="53">
        <f>Variables!AE15*-1</f>
        <v>0</v>
      </c>
      <c r="U124" s="98" t="str">
        <f>Variables!AD15</f>
        <v>Manual Sub 2</v>
      </c>
      <c r="V124" s="141">
        <f>Variables!AF15</f>
        <v>0</v>
      </c>
      <c r="W124" s="243"/>
      <c r="X124" s="141"/>
      <c r="AD124" s="80"/>
      <c r="AE124" s="81"/>
      <c r="AF124" s="80"/>
      <c r="AG124" s="80"/>
      <c r="AH124" s="81"/>
      <c r="AI124" s="80"/>
      <c r="AJ124" s="82"/>
      <c r="AK124" s="80"/>
      <c r="AL124" s="82"/>
    </row>
    <row r="125" spans="4:38" x14ac:dyDescent="0.2">
      <c r="D125" s="295"/>
      <c r="E125" s="68" t="s">
        <v>6</v>
      </c>
      <c r="F125" s="38" t="str">
        <f t="shared" si="93"/>
        <v>Manual Sub 3</v>
      </c>
      <c r="G125" s="38"/>
      <c r="H125" s="38"/>
      <c r="I125" s="38"/>
      <c r="J125" s="38"/>
      <c r="K125" s="38">
        <f t="shared" ref="K125:Q125" si="105">$T$125</f>
        <v>0</v>
      </c>
      <c r="L125" s="38">
        <f t="shared" si="105"/>
        <v>0</v>
      </c>
      <c r="M125" s="38">
        <f t="shared" si="105"/>
        <v>0</v>
      </c>
      <c r="N125" s="38">
        <f t="shared" si="105"/>
        <v>0</v>
      </c>
      <c r="O125" s="38">
        <f t="shared" si="105"/>
        <v>0</v>
      </c>
      <c r="P125" s="38">
        <f t="shared" si="105"/>
        <v>0</v>
      </c>
      <c r="Q125" s="38">
        <f t="shared" si="105"/>
        <v>0</v>
      </c>
      <c r="R125" s="38">
        <f>$T$125</f>
        <v>0</v>
      </c>
      <c r="T125" s="53">
        <f>Variables!AE16*-1</f>
        <v>0</v>
      </c>
      <c r="U125" s="98" t="str">
        <f>Variables!AD16</f>
        <v>Manual Sub 3</v>
      </c>
      <c r="V125" s="141">
        <f>Variables!AF16</f>
        <v>0</v>
      </c>
      <c r="W125" s="243"/>
      <c r="X125" s="141"/>
      <c r="AD125" s="80"/>
      <c r="AE125" s="81"/>
      <c r="AF125" s="80"/>
      <c r="AG125" s="80"/>
      <c r="AH125" s="81"/>
      <c r="AI125" s="80"/>
      <c r="AJ125" s="82"/>
      <c r="AK125" s="80"/>
      <c r="AL125" s="82"/>
    </row>
    <row r="126" spans="4:38" x14ac:dyDescent="0.2">
      <c r="D126" s="295"/>
      <c r="E126" s="68" t="s">
        <v>6</v>
      </c>
      <c r="F126" s="38" t="str">
        <f t="shared" si="93"/>
        <v>Manual Sub 4</v>
      </c>
      <c r="G126" s="38"/>
      <c r="H126" s="38"/>
      <c r="I126" s="38"/>
      <c r="J126" s="38"/>
      <c r="K126" s="38">
        <f t="shared" ref="K126:Q126" si="106">$T$126</f>
        <v>0</v>
      </c>
      <c r="L126" s="38">
        <f t="shared" si="106"/>
        <v>0</v>
      </c>
      <c r="M126" s="38">
        <f t="shared" si="106"/>
        <v>0</v>
      </c>
      <c r="N126" s="38">
        <f t="shared" si="106"/>
        <v>0</v>
      </c>
      <c r="O126" s="38">
        <f t="shared" si="106"/>
        <v>0</v>
      </c>
      <c r="P126" s="38">
        <f t="shared" si="106"/>
        <v>0</v>
      </c>
      <c r="Q126" s="38">
        <f t="shared" si="106"/>
        <v>0</v>
      </c>
      <c r="R126" s="38">
        <f>$T$126</f>
        <v>0</v>
      </c>
      <c r="T126" s="53">
        <f>Variables!AE17*-1</f>
        <v>0</v>
      </c>
      <c r="U126" s="98" t="str">
        <f>Variables!AD17</f>
        <v>Manual Sub 4</v>
      </c>
      <c r="V126" s="141">
        <f>Variables!AF17</f>
        <v>0</v>
      </c>
      <c r="W126" s="243"/>
      <c r="X126" s="141"/>
      <c r="AD126" s="80"/>
      <c r="AE126" s="81"/>
      <c r="AF126" s="80"/>
      <c r="AG126" s="80"/>
      <c r="AH126" s="81"/>
      <c r="AI126" s="80"/>
      <c r="AJ126" s="82"/>
      <c r="AK126" s="80"/>
      <c r="AL126" s="82"/>
    </row>
    <row r="127" spans="4:38" x14ac:dyDescent="0.2">
      <c r="D127" s="295"/>
      <c r="E127" s="68" t="s">
        <v>6</v>
      </c>
      <c r="F127" s="38" t="str">
        <f t="shared" si="93"/>
        <v>Manual Sub 5</v>
      </c>
      <c r="G127" s="38"/>
      <c r="H127" s="38"/>
      <c r="I127" s="38"/>
      <c r="J127" s="38"/>
      <c r="K127" s="38">
        <f t="shared" ref="K127:Q127" si="107">$T$127</f>
        <v>0</v>
      </c>
      <c r="L127" s="38">
        <f t="shared" si="107"/>
        <v>0</v>
      </c>
      <c r="M127" s="38">
        <f t="shared" si="107"/>
        <v>0</v>
      </c>
      <c r="N127" s="38">
        <f t="shared" si="107"/>
        <v>0</v>
      </c>
      <c r="O127" s="38">
        <f t="shared" si="107"/>
        <v>0</v>
      </c>
      <c r="P127" s="38">
        <f t="shared" si="107"/>
        <v>0</v>
      </c>
      <c r="Q127" s="38">
        <f t="shared" si="107"/>
        <v>0</v>
      </c>
      <c r="R127" s="38">
        <f>$T$127</f>
        <v>0</v>
      </c>
      <c r="T127" s="53">
        <f>Variables!AE18*-1</f>
        <v>0</v>
      </c>
      <c r="U127" s="98" t="str">
        <f>Variables!AD18</f>
        <v>Manual Sub 5</v>
      </c>
      <c r="V127" s="141">
        <f>Variables!AF18</f>
        <v>0</v>
      </c>
      <c r="W127" s="243"/>
      <c r="X127" s="141"/>
      <c r="AD127" s="80"/>
      <c r="AE127" s="81"/>
      <c r="AF127" s="80"/>
      <c r="AG127" s="80"/>
      <c r="AH127" s="81"/>
      <c r="AI127" s="80"/>
      <c r="AJ127" s="82"/>
      <c r="AK127" s="80"/>
      <c r="AL127" s="82"/>
    </row>
    <row r="128" spans="4:38" x14ac:dyDescent="0.2">
      <c r="D128" s="295"/>
      <c r="E128" s="68" t="s">
        <v>6</v>
      </c>
      <c r="F128" s="38" t="str">
        <f t="shared" si="93"/>
        <v>Manual Sub 6</v>
      </c>
      <c r="G128" s="38"/>
      <c r="H128" s="38"/>
      <c r="I128" s="38"/>
      <c r="J128" s="38"/>
      <c r="K128" s="38">
        <f t="shared" ref="K128:Q128" si="108">$T$128</f>
        <v>0</v>
      </c>
      <c r="L128" s="38">
        <f t="shared" si="108"/>
        <v>0</v>
      </c>
      <c r="M128" s="38">
        <f t="shared" si="108"/>
        <v>0</v>
      </c>
      <c r="N128" s="38">
        <f t="shared" si="108"/>
        <v>0</v>
      </c>
      <c r="O128" s="38">
        <f t="shared" si="108"/>
        <v>0</v>
      </c>
      <c r="P128" s="38">
        <f t="shared" si="108"/>
        <v>0</v>
      </c>
      <c r="Q128" s="38">
        <f t="shared" si="108"/>
        <v>0</v>
      </c>
      <c r="R128" s="38">
        <f>$T$128</f>
        <v>0</v>
      </c>
      <c r="T128" s="53">
        <f>Variables!AE19*-1</f>
        <v>0</v>
      </c>
      <c r="U128" s="98" t="str">
        <f>Variables!AD19</f>
        <v>Manual Sub 6</v>
      </c>
      <c r="V128" s="141">
        <f>Variables!AF19</f>
        <v>0</v>
      </c>
      <c r="W128" s="243"/>
      <c r="X128" s="141"/>
      <c r="AD128" s="80"/>
      <c r="AE128" s="81"/>
      <c r="AF128" s="80"/>
      <c r="AG128" s="80"/>
      <c r="AH128" s="81"/>
      <c r="AI128" s="80"/>
      <c r="AJ128" s="82"/>
      <c r="AK128" s="80"/>
      <c r="AL128" s="82"/>
    </row>
    <row r="129" spans="4:38" x14ac:dyDescent="0.2">
      <c r="D129" s="295"/>
      <c r="E129" s="68" t="s">
        <v>6</v>
      </c>
      <c r="F129" s="38" t="str">
        <f t="shared" si="93"/>
        <v>Manual Sub 7</v>
      </c>
      <c r="G129" s="38"/>
      <c r="H129" s="38"/>
      <c r="I129" s="38"/>
      <c r="J129" s="38"/>
      <c r="K129" s="38">
        <f t="shared" ref="K129:Q129" si="109">$T$129</f>
        <v>0</v>
      </c>
      <c r="L129" s="38">
        <f t="shared" si="109"/>
        <v>0</v>
      </c>
      <c r="M129" s="38">
        <f t="shared" si="109"/>
        <v>0</v>
      </c>
      <c r="N129" s="38">
        <f t="shared" si="109"/>
        <v>0</v>
      </c>
      <c r="O129" s="38">
        <f t="shared" si="109"/>
        <v>0</v>
      </c>
      <c r="P129" s="38">
        <f t="shared" si="109"/>
        <v>0</v>
      </c>
      <c r="Q129" s="38">
        <f t="shared" si="109"/>
        <v>0</v>
      </c>
      <c r="R129" s="38">
        <f>$T$129</f>
        <v>0</v>
      </c>
      <c r="T129" s="53">
        <f>Variables!AE20*-1</f>
        <v>0</v>
      </c>
      <c r="U129" s="98" t="str">
        <f>Variables!AD20</f>
        <v>Manual Sub 7</v>
      </c>
      <c r="V129" s="141">
        <f>Variables!AF20</f>
        <v>0</v>
      </c>
      <c r="W129" s="243"/>
      <c r="X129" s="141"/>
      <c r="AD129" s="80"/>
      <c r="AE129" s="81"/>
      <c r="AF129" s="80"/>
      <c r="AG129" s="80"/>
      <c r="AH129" s="81"/>
      <c r="AI129" s="80"/>
      <c r="AJ129" s="82"/>
      <c r="AK129" s="80"/>
      <c r="AL129" s="82"/>
    </row>
    <row r="130" spans="4:38" x14ac:dyDescent="0.2">
      <c r="D130" s="295"/>
      <c r="E130" s="68" t="s">
        <v>6</v>
      </c>
      <c r="F130" s="38" t="str">
        <f t="shared" si="93"/>
        <v>Manual Sub 8</v>
      </c>
      <c r="G130" s="38"/>
      <c r="H130" s="38"/>
      <c r="I130" s="38"/>
      <c r="J130" s="38"/>
      <c r="K130" s="38">
        <f t="shared" ref="K130:Q130" si="110">$T$130</f>
        <v>0</v>
      </c>
      <c r="L130" s="38">
        <f t="shared" si="110"/>
        <v>0</v>
      </c>
      <c r="M130" s="38">
        <f t="shared" si="110"/>
        <v>0</v>
      </c>
      <c r="N130" s="38">
        <f t="shared" si="110"/>
        <v>0</v>
      </c>
      <c r="O130" s="38">
        <f t="shared" si="110"/>
        <v>0</v>
      </c>
      <c r="P130" s="38">
        <f t="shared" si="110"/>
        <v>0</v>
      </c>
      <c r="Q130" s="38">
        <f t="shared" si="110"/>
        <v>0</v>
      </c>
      <c r="R130" s="38">
        <f>$T$130</f>
        <v>0</v>
      </c>
      <c r="T130" s="53">
        <f>Variables!AE21*-1</f>
        <v>0</v>
      </c>
      <c r="U130" s="98" t="str">
        <f>Variables!AD21</f>
        <v>Manual Sub 8</v>
      </c>
      <c r="V130" s="141">
        <f>Variables!AF21</f>
        <v>0</v>
      </c>
      <c r="W130" s="243"/>
      <c r="X130" s="141"/>
      <c r="AD130" s="80"/>
      <c r="AE130" s="81"/>
      <c r="AF130" s="80"/>
      <c r="AG130" s="80"/>
      <c r="AH130" s="81"/>
      <c r="AI130" s="80"/>
      <c r="AJ130" s="82"/>
      <c r="AK130" s="80"/>
      <c r="AL130" s="82"/>
    </row>
    <row r="131" spans="4:38" x14ac:dyDescent="0.2">
      <c r="D131" s="295"/>
      <c r="E131" s="68" t="s">
        <v>6</v>
      </c>
      <c r="F131" s="38" t="str">
        <f t="shared" si="93"/>
        <v>Manual Sub 9</v>
      </c>
      <c r="G131" s="38"/>
      <c r="H131" s="38"/>
      <c r="I131" s="38"/>
      <c r="J131" s="38"/>
      <c r="K131" s="38">
        <f t="shared" ref="K131:Q131" si="111">$T$131</f>
        <v>0</v>
      </c>
      <c r="L131" s="38">
        <f t="shared" si="111"/>
        <v>0</v>
      </c>
      <c r="M131" s="38">
        <f t="shared" si="111"/>
        <v>0</v>
      </c>
      <c r="N131" s="38">
        <f t="shared" si="111"/>
        <v>0</v>
      </c>
      <c r="O131" s="38">
        <f t="shared" si="111"/>
        <v>0</v>
      </c>
      <c r="P131" s="38">
        <f t="shared" si="111"/>
        <v>0</v>
      </c>
      <c r="Q131" s="38">
        <f t="shared" si="111"/>
        <v>0</v>
      </c>
      <c r="R131" s="38">
        <f>$T$131</f>
        <v>0</v>
      </c>
      <c r="T131" s="53">
        <f>Variables!AE22*-1</f>
        <v>0</v>
      </c>
      <c r="U131" s="98" t="str">
        <f>Variables!AD22</f>
        <v>Manual Sub 9</v>
      </c>
      <c r="V131" s="141">
        <f>Variables!AF22</f>
        <v>0</v>
      </c>
      <c r="W131" s="243"/>
      <c r="X131" s="141"/>
      <c r="AD131" s="80"/>
      <c r="AE131" s="81"/>
      <c r="AF131" s="80"/>
      <c r="AG131" s="80"/>
      <c r="AH131" s="81"/>
      <c r="AI131" s="80"/>
      <c r="AJ131" s="82"/>
      <c r="AK131" s="80"/>
      <c r="AL131" s="82"/>
    </row>
    <row r="132" spans="4:38" x14ac:dyDescent="0.2">
      <c r="D132" s="296"/>
      <c r="E132" s="68" t="s">
        <v>6</v>
      </c>
      <c r="F132" s="38" t="str">
        <f t="shared" si="93"/>
        <v>Manual Sub 10</v>
      </c>
      <c r="G132" s="38"/>
      <c r="H132" s="38"/>
      <c r="I132" s="38"/>
      <c r="J132" s="38"/>
      <c r="K132" s="38">
        <f t="shared" ref="K132:Q132" si="112">$T$132</f>
        <v>0</v>
      </c>
      <c r="L132" s="38">
        <f t="shared" si="112"/>
        <v>0</v>
      </c>
      <c r="M132" s="38">
        <f t="shared" si="112"/>
        <v>0</v>
      </c>
      <c r="N132" s="38">
        <f t="shared" si="112"/>
        <v>0</v>
      </c>
      <c r="O132" s="38">
        <f t="shared" si="112"/>
        <v>0</v>
      </c>
      <c r="P132" s="38">
        <f t="shared" si="112"/>
        <v>0</v>
      </c>
      <c r="Q132" s="38">
        <f t="shared" si="112"/>
        <v>0</v>
      </c>
      <c r="R132" s="38">
        <f>$T$132</f>
        <v>0</v>
      </c>
      <c r="T132" s="53">
        <f>Variables!AE23*-1</f>
        <v>0</v>
      </c>
      <c r="U132" s="98" t="str">
        <f>Variables!AD23</f>
        <v>Manual Sub 10</v>
      </c>
      <c r="V132" s="141">
        <f>Variables!AF23</f>
        <v>0</v>
      </c>
      <c r="W132" s="244"/>
      <c r="X132" s="141"/>
      <c r="AD132" s="80"/>
      <c r="AE132" s="81"/>
      <c r="AF132" s="80"/>
      <c r="AG132" s="80"/>
      <c r="AH132" s="81"/>
      <c r="AI132" s="80"/>
      <c r="AJ132" s="82"/>
      <c r="AK132" s="80"/>
      <c r="AL132" s="82"/>
    </row>
    <row r="133" spans="4:38" ht="12.75" customHeight="1" x14ac:dyDescent="0.2">
      <c r="D133" s="285" t="str">
        <f>Variables!$AH$2</f>
        <v>Household Expenses</v>
      </c>
      <c r="E133" s="51" t="s">
        <v>4</v>
      </c>
      <c r="F133" s="39" t="str">
        <f t="shared" ref="F133:F142" si="113">U133</f>
        <v>Housing</v>
      </c>
      <c r="G133" s="99"/>
      <c r="H133" s="99"/>
      <c r="I133" s="99"/>
      <c r="J133" s="99"/>
      <c r="K133" s="99">
        <f t="shared" ref="K133:R133" si="114">$T$133</f>
        <v>-1000</v>
      </c>
      <c r="L133" s="99">
        <f t="shared" si="114"/>
        <v>-1000</v>
      </c>
      <c r="M133" s="99">
        <f t="shared" si="114"/>
        <v>-1000</v>
      </c>
      <c r="N133" s="99">
        <f t="shared" si="114"/>
        <v>-1000</v>
      </c>
      <c r="O133" s="99">
        <f t="shared" si="114"/>
        <v>-1000</v>
      </c>
      <c r="P133" s="99">
        <f t="shared" si="114"/>
        <v>-1000</v>
      </c>
      <c r="Q133" s="99">
        <f t="shared" si="114"/>
        <v>-1000</v>
      </c>
      <c r="R133" s="99">
        <f t="shared" si="114"/>
        <v>-1000</v>
      </c>
      <c r="S133" s="43"/>
      <c r="T133" s="69">
        <f>Variables!AI3*-1</f>
        <v>-1000</v>
      </c>
      <c r="U133" s="43" t="str">
        <f>Variables!AH3</f>
        <v>Housing</v>
      </c>
      <c r="V133" s="131">
        <f>Variables!AJ3</f>
        <v>0</v>
      </c>
      <c r="W133" s="245" t="str">
        <f>Variables!$AH$2</f>
        <v>Household Expenses</v>
      </c>
      <c r="X133" s="131"/>
      <c r="AD133" s="80"/>
      <c r="AE133" s="81"/>
      <c r="AF133" s="80"/>
      <c r="AG133" s="80"/>
      <c r="AH133" s="81"/>
      <c r="AI133" s="80"/>
      <c r="AJ133" s="82"/>
      <c r="AK133" s="80"/>
      <c r="AL133" s="82"/>
    </row>
    <row r="134" spans="4:38" x14ac:dyDescent="0.2">
      <c r="D134" s="286"/>
      <c r="E134" s="51" t="s">
        <v>4</v>
      </c>
      <c r="F134" s="39" t="str">
        <f t="shared" si="113"/>
        <v>Insurance</v>
      </c>
      <c r="G134" s="99"/>
      <c r="H134" s="99"/>
      <c r="I134" s="99"/>
      <c r="J134" s="99"/>
      <c r="K134" s="99">
        <f t="shared" ref="K134:R134" si="115">$T$134</f>
        <v>-15</v>
      </c>
      <c r="L134" s="99">
        <f t="shared" si="115"/>
        <v>-15</v>
      </c>
      <c r="M134" s="99">
        <f t="shared" si="115"/>
        <v>-15</v>
      </c>
      <c r="N134" s="99">
        <f t="shared" si="115"/>
        <v>-15</v>
      </c>
      <c r="O134" s="99">
        <f t="shared" si="115"/>
        <v>-15</v>
      </c>
      <c r="P134" s="99">
        <f t="shared" si="115"/>
        <v>-15</v>
      </c>
      <c r="Q134" s="99">
        <f t="shared" si="115"/>
        <v>-15</v>
      </c>
      <c r="R134" s="99">
        <f t="shared" si="115"/>
        <v>-15</v>
      </c>
      <c r="S134" s="43"/>
      <c r="T134" s="69">
        <f>Variables!AI4*-1</f>
        <v>-15</v>
      </c>
      <c r="U134" s="43" t="str">
        <f>Variables!AH4</f>
        <v>Insurance</v>
      </c>
      <c r="V134" s="131">
        <f>Variables!AJ4</f>
        <v>0</v>
      </c>
      <c r="W134" s="246"/>
      <c r="X134" s="131"/>
      <c r="AD134" s="80"/>
      <c r="AE134" s="81"/>
      <c r="AF134" s="80"/>
      <c r="AG134" s="80"/>
      <c r="AH134" s="81"/>
      <c r="AI134" s="80"/>
      <c r="AJ134" s="82"/>
      <c r="AK134" s="80"/>
      <c r="AL134" s="82"/>
    </row>
    <row r="135" spans="4:38" x14ac:dyDescent="0.2">
      <c r="D135" s="286"/>
      <c r="E135" s="51" t="s">
        <v>4</v>
      </c>
      <c r="F135" s="39" t="str">
        <f t="shared" si="113"/>
        <v>Heating</v>
      </c>
      <c r="G135" s="99"/>
      <c r="H135" s="99"/>
      <c r="I135" s="99"/>
      <c r="J135" s="99"/>
      <c r="K135" s="99">
        <f t="shared" ref="K135:R135" si="116">$T$135</f>
        <v>-35</v>
      </c>
      <c r="L135" s="99">
        <f t="shared" si="116"/>
        <v>-35</v>
      </c>
      <c r="M135" s="99">
        <f t="shared" si="116"/>
        <v>-35</v>
      </c>
      <c r="N135" s="99">
        <f t="shared" si="116"/>
        <v>-35</v>
      </c>
      <c r="O135" s="99">
        <f t="shared" si="116"/>
        <v>-35</v>
      </c>
      <c r="P135" s="99">
        <f t="shared" si="116"/>
        <v>-35</v>
      </c>
      <c r="Q135" s="99">
        <f t="shared" si="116"/>
        <v>-35</v>
      </c>
      <c r="R135" s="99">
        <f t="shared" si="116"/>
        <v>-35</v>
      </c>
      <c r="S135" s="43"/>
      <c r="T135" s="69">
        <f>Variables!AI5*-1</f>
        <v>-35</v>
      </c>
      <c r="U135" s="43" t="str">
        <f>Variables!AH5</f>
        <v>Heating</v>
      </c>
      <c r="V135" s="131">
        <f>Variables!AJ5</f>
        <v>0</v>
      </c>
      <c r="W135" s="246"/>
      <c r="X135" s="131"/>
      <c r="AD135" s="80"/>
      <c r="AE135" s="81"/>
      <c r="AF135" s="80"/>
      <c r="AG135" s="80"/>
      <c r="AH135" s="81"/>
      <c r="AI135" s="80"/>
      <c r="AJ135" s="82"/>
      <c r="AK135" s="80"/>
      <c r="AL135" s="82"/>
    </row>
    <row r="136" spans="4:38" x14ac:dyDescent="0.2">
      <c r="D136" s="286"/>
      <c r="E136" s="51" t="s">
        <v>4</v>
      </c>
      <c r="F136" s="39" t="str">
        <f t="shared" si="113"/>
        <v>Electricity</v>
      </c>
      <c r="G136" s="99"/>
      <c r="H136" s="99"/>
      <c r="I136" s="99"/>
      <c r="J136" s="99"/>
      <c r="K136" s="99">
        <f t="shared" ref="K136:R136" si="117">$T$136</f>
        <v>-115</v>
      </c>
      <c r="L136" s="99">
        <f t="shared" si="117"/>
        <v>-115</v>
      </c>
      <c r="M136" s="99">
        <f t="shared" si="117"/>
        <v>-115</v>
      </c>
      <c r="N136" s="99">
        <f t="shared" si="117"/>
        <v>-115</v>
      </c>
      <c r="O136" s="99">
        <f t="shared" si="117"/>
        <v>-115</v>
      </c>
      <c r="P136" s="99">
        <f t="shared" si="117"/>
        <v>-115</v>
      </c>
      <c r="Q136" s="99">
        <f t="shared" si="117"/>
        <v>-115</v>
      </c>
      <c r="R136" s="99">
        <f t="shared" si="117"/>
        <v>-115</v>
      </c>
      <c r="S136" s="43"/>
      <c r="T136" s="69">
        <f>Variables!AI6*-1</f>
        <v>-115</v>
      </c>
      <c r="U136" s="43" t="str">
        <f>Variables!AH6</f>
        <v>Electricity</v>
      </c>
      <c r="V136" s="131">
        <f>Variables!AJ6</f>
        <v>0</v>
      </c>
      <c r="W136" s="246"/>
      <c r="X136" s="131"/>
      <c r="AD136" s="80"/>
      <c r="AE136" s="81"/>
      <c r="AF136" s="80"/>
      <c r="AG136" s="80"/>
      <c r="AH136" s="81"/>
      <c r="AI136" s="80"/>
      <c r="AJ136" s="82"/>
      <c r="AK136" s="80"/>
      <c r="AL136" s="82"/>
    </row>
    <row r="137" spans="4:38" x14ac:dyDescent="0.2">
      <c r="D137" s="286"/>
      <c r="E137" s="51" t="s">
        <v>4</v>
      </c>
      <c r="F137" s="39" t="str">
        <f t="shared" si="113"/>
        <v>Water</v>
      </c>
      <c r="G137" s="99"/>
      <c r="H137" s="99"/>
      <c r="I137" s="99"/>
      <c r="J137" s="99"/>
      <c r="K137" s="99">
        <f t="shared" ref="K137:R137" si="118">$T$137</f>
        <v>-50</v>
      </c>
      <c r="L137" s="99">
        <f t="shared" si="118"/>
        <v>-50</v>
      </c>
      <c r="M137" s="99">
        <f t="shared" si="118"/>
        <v>-50</v>
      </c>
      <c r="N137" s="99">
        <f t="shared" si="118"/>
        <v>-50</v>
      </c>
      <c r="O137" s="99">
        <f t="shared" si="118"/>
        <v>-50</v>
      </c>
      <c r="P137" s="99">
        <f t="shared" si="118"/>
        <v>-50</v>
      </c>
      <c r="Q137" s="99">
        <f t="shared" si="118"/>
        <v>-50</v>
      </c>
      <c r="R137" s="99">
        <f t="shared" si="118"/>
        <v>-50</v>
      </c>
      <c r="S137" s="43"/>
      <c r="T137" s="69">
        <f>Variables!AI7*-1</f>
        <v>-50</v>
      </c>
      <c r="U137" s="43" t="str">
        <f>Variables!AH7</f>
        <v>Water</v>
      </c>
      <c r="V137" s="131">
        <f>Variables!AJ7</f>
        <v>0</v>
      </c>
      <c r="W137" s="246"/>
      <c r="X137" s="131"/>
      <c r="AD137" s="80"/>
      <c r="AE137" s="81"/>
      <c r="AF137" s="80"/>
      <c r="AG137" s="80"/>
      <c r="AH137" s="81"/>
      <c r="AI137" s="80"/>
      <c r="AJ137" s="82"/>
      <c r="AK137" s="80"/>
      <c r="AL137" s="82"/>
    </row>
    <row r="138" spans="4:38" x14ac:dyDescent="0.2">
      <c r="D138" s="286"/>
      <c r="E138" s="51" t="s">
        <v>4</v>
      </c>
      <c r="F138" s="39" t="str">
        <f t="shared" si="113"/>
        <v>Internet</v>
      </c>
      <c r="G138" s="99"/>
      <c r="H138" s="99"/>
      <c r="I138" s="99"/>
      <c r="J138" s="99"/>
      <c r="K138" s="99">
        <f t="shared" ref="K138:R138" si="119">$T$138</f>
        <v>-75</v>
      </c>
      <c r="L138" s="99">
        <f t="shared" si="119"/>
        <v>-75</v>
      </c>
      <c r="M138" s="99">
        <f t="shared" si="119"/>
        <v>-75</v>
      </c>
      <c r="N138" s="99">
        <f t="shared" si="119"/>
        <v>-75</v>
      </c>
      <c r="O138" s="99">
        <f t="shared" si="119"/>
        <v>-75</v>
      </c>
      <c r="P138" s="99">
        <f t="shared" si="119"/>
        <v>-75</v>
      </c>
      <c r="Q138" s="99">
        <f t="shared" si="119"/>
        <v>-75</v>
      </c>
      <c r="R138" s="99">
        <f t="shared" si="119"/>
        <v>-75</v>
      </c>
      <c r="S138" s="43"/>
      <c r="T138" s="69">
        <f>Variables!AI8*-1</f>
        <v>-75</v>
      </c>
      <c r="U138" s="43" t="str">
        <f>Variables!AH8</f>
        <v>Internet</v>
      </c>
      <c r="V138" s="131">
        <f>Variables!AJ8</f>
        <v>0</v>
      </c>
      <c r="W138" s="246"/>
      <c r="X138" s="131"/>
      <c r="AD138" s="80"/>
      <c r="AE138" s="81"/>
      <c r="AF138" s="80"/>
      <c r="AG138" s="80"/>
      <c r="AH138" s="81"/>
      <c r="AI138" s="80"/>
      <c r="AJ138" s="82"/>
      <c r="AK138" s="80"/>
      <c r="AL138" s="82"/>
    </row>
    <row r="139" spans="4:38" x14ac:dyDescent="0.2">
      <c r="D139" s="286"/>
      <c r="E139" s="51" t="s">
        <v>4</v>
      </c>
      <c r="F139" s="39" t="str">
        <f t="shared" si="113"/>
        <v>Auto HH 7</v>
      </c>
      <c r="G139" s="99"/>
      <c r="H139" s="99"/>
      <c r="I139" s="99"/>
      <c r="J139" s="99"/>
      <c r="K139" s="99">
        <f t="shared" ref="K139:R139" si="120">$T$139</f>
        <v>0</v>
      </c>
      <c r="L139" s="99">
        <f t="shared" si="120"/>
        <v>0</v>
      </c>
      <c r="M139" s="99">
        <f t="shared" si="120"/>
        <v>0</v>
      </c>
      <c r="N139" s="99">
        <f t="shared" si="120"/>
        <v>0</v>
      </c>
      <c r="O139" s="99">
        <f t="shared" si="120"/>
        <v>0</v>
      </c>
      <c r="P139" s="99">
        <f t="shared" si="120"/>
        <v>0</v>
      </c>
      <c r="Q139" s="99">
        <f t="shared" si="120"/>
        <v>0</v>
      </c>
      <c r="R139" s="99">
        <f t="shared" si="120"/>
        <v>0</v>
      </c>
      <c r="T139" s="69">
        <f>Variables!AI9*-1</f>
        <v>0</v>
      </c>
      <c r="U139" s="43" t="str">
        <f>Variables!AH9</f>
        <v>Auto HH 7</v>
      </c>
      <c r="V139" s="131">
        <f>Variables!AJ9</f>
        <v>0</v>
      </c>
      <c r="W139" s="246"/>
      <c r="X139" s="131"/>
      <c r="AD139" s="80"/>
      <c r="AE139" s="81"/>
      <c r="AF139" s="80"/>
      <c r="AG139" s="80"/>
      <c r="AH139" s="81"/>
      <c r="AI139" s="80"/>
      <c r="AJ139" s="82"/>
      <c r="AK139" s="80"/>
      <c r="AL139" s="82"/>
    </row>
    <row r="140" spans="4:38" x14ac:dyDescent="0.2">
      <c r="D140" s="286"/>
      <c r="E140" s="51" t="s">
        <v>4</v>
      </c>
      <c r="F140" s="39" t="str">
        <f t="shared" si="113"/>
        <v>Auto HH 8</v>
      </c>
      <c r="G140" s="99"/>
      <c r="H140" s="99"/>
      <c r="I140" s="99"/>
      <c r="J140" s="99"/>
      <c r="K140" s="99">
        <f t="shared" ref="K140:R140" si="121">$T$140</f>
        <v>0</v>
      </c>
      <c r="L140" s="99">
        <f t="shared" si="121"/>
        <v>0</v>
      </c>
      <c r="M140" s="99">
        <f t="shared" si="121"/>
        <v>0</v>
      </c>
      <c r="N140" s="99">
        <f t="shared" si="121"/>
        <v>0</v>
      </c>
      <c r="O140" s="99">
        <f t="shared" si="121"/>
        <v>0</v>
      </c>
      <c r="P140" s="99">
        <f t="shared" si="121"/>
        <v>0</v>
      </c>
      <c r="Q140" s="99">
        <f t="shared" si="121"/>
        <v>0</v>
      </c>
      <c r="R140" s="99">
        <f t="shared" si="121"/>
        <v>0</v>
      </c>
      <c r="T140" s="69">
        <f>Variables!AI10*-1</f>
        <v>0</v>
      </c>
      <c r="U140" s="43" t="str">
        <f>Variables!AH10</f>
        <v>Auto HH 8</v>
      </c>
      <c r="V140" s="131">
        <f>Variables!AJ10</f>
        <v>0</v>
      </c>
      <c r="W140" s="246"/>
      <c r="X140" s="131"/>
      <c r="AD140" s="80"/>
      <c r="AE140" s="81"/>
      <c r="AF140" s="80"/>
      <c r="AG140" s="80"/>
      <c r="AH140" s="81"/>
      <c r="AI140" s="80"/>
      <c r="AJ140" s="82"/>
      <c r="AK140" s="80"/>
      <c r="AL140" s="82"/>
    </row>
    <row r="141" spans="4:38" x14ac:dyDescent="0.2">
      <c r="D141" s="286"/>
      <c r="E141" s="51" t="s">
        <v>4</v>
      </c>
      <c r="F141" s="39" t="str">
        <f t="shared" si="113"/>
        <v>Auto HH 9</v>
      </c>
      <c r="G141" s="99"/>
      <c r="H141" s="99"/>
      <c r="I141" s="99"/>
      <c r="J141" s="99"/>
      <c r="K141" s="99">
        <f t="shared" ref="K141:R141" si="122">$T$141</f>
        <v>0</v>
      </c>
      <c r="L141" s="99">
        <f t="shared" si="122"/>
        <v>0</v>
      </c>
      <c r="M141" s="99">
        <f t="shared" si="122"/>
        <v>0</v>
      </c>
      <c r="N141" s="99">
        <f t="shared" si="122"/>
        <v>0</v>
      </c>
      <c r="O141" s="99">
        <f t="shared" si="122"/>
        <v>0</v>
      </c>
      <c r="P141" s="99">
        <f t="shared" si="122"/>
        <v>0</v>
      </c>
      <c r="Q141" s="99">
        <f t="shared" si="122"/>
        <v>0</v>
      </c>
      <c r="R141" s="99">
        <f t="shared" si="122"/>
        <v>0</v>
      </c>
      <c r="T141" s="69">
        <f>Variables!AI11*-1</f>
        <v>0</v>
      </c>
      <c r="U141" s="43" t="str">
        <f>Variables!AH11</f>
        <v>Auto HH 9</v>
      </c>
      <c r="V141" s="131">
        <f>Variables!AJ11</f>
        <v>0</v>
      </c>
      <c r="W141" s="246"/>
      <c r="X141" s="131"/>
      <c r="AD141" s="80"/>
      <c r="AE141" s="81"/>
      <c r="AF141" s="80"/>
      <c r="AG141" s="80"/>
      <c r="AH141" s="81"/>
      <c r="AI141" s="80"/>
      <c r="AJ141" s="82"/>
      <c r="AK141" s="80"/>
      <c r="AL141" s="82"/>
    </row>
    <row r="142" spans="4:38" x14ac:dyDescent="0.2">
      <c r="D142" s="286"/>
      <c r="E142" s="51" t="s">
        <v>4</v>
      </c>
      <c r="F142" s="39" t="str">
        <f t="shared" si="113"/>
        <v>Auto HH 10</v>
      </c>
      <c r="G142" s="99"/>
      <c r="H142" s="99"/>
      <c r="I142" s="99"/>
      <c r="J142" s="99"/>
      <c r="K142" s="99">
        <f t="shared" ref="K142:R142" si="123">$T$142</f>
        <v>0</v>
      </c>
      <c r="L142" s="99">
        <f t="shared" si="123"/>
        <v>0</v>
      </c>
      <c r="M142" s="99">
        <f t="shared" si="123"/>
        <v>0</v>
      </c>
      <c r="N142" s="99">
        <f t="shared" si="123"/>
        <v>0</v>
      </c>
      <c r="O142" s="99">
        <f t="shared" si="123"/>
        <v>0</v>
      </c>
      <c r="P142" s="99">
        <f t="shared" si="123"/>
        <v>0</v>
      </c>
      <c r="Q142" s="99">
        <f t="shared" si="123"/>
        <v>0</v>
      </c>
      <c r="R142" s="99">
        <f t="shared" si="123"/>
        <v>0</v>
      </c>
      <c r="T142" s="69">
        <f>Variables!AI12*-1</f>
        <v>0</v>
      </c>
      <c r="U142" s="43" t="str">
        <f>Variables!AH12</f>
        <v>Auto HH 10</v>
      </c>
      <c r="V142" s="131">
        <f>Variables!AJ12</f>
        <v>0</v>
      </c>
      <c r="W142" s="246"/>
      <c r="X142" s="131"/>
      <c r="AD142" s="43"/>
      <c r="AE142" s="61"/>
      <c r="AG142" s="100"/>
      <c r="AH142" s="101"/>
      <c r="AJ142" s="102"/>
      <c r="AL142" s="102"/>
    </row>
    <row r="143" spans="4:38" x14ac:dyDescent="0.2">
      <c r="D143" s="286"/>
      <c r="E143" s="68" t="s">
        <v>6</v>
      </c>
      <c r="F143" s="39" t="str">
        <f>U143</f>
        <v>Groceries</v>
      </c>
      <c r="G143" s="99"/>
      <c r="H143" s="99"/>
      <c r="I143" s="99"/>
      <c r="J143" s="99"/>
      <c r="K143" s="99">
        <f t="shared" ref="K143:R143" si="124">$T$143</f>
        <v>-200</v>
      </c>
      <c r="L143" s="99">
        <f t="shared" si="124"/>
        <v>-200</v>
      </c>
      <c r="M143" s="99">
        <f t="shared" si="124"/>
        <v>-200</v>
      </c>
      <c r="N143" s="99">
        <f t="shared" si="124"/>
        <v>-200</v>
      </c>
      <c r="O143" s="99">
        <f t="shared" si="124"/>
        <v>-200</v>
      </c>
      <c r="P143" s="99">
        <f t="shared" si="124"/>
        <v>-200</v>
      </c>
      <c r="Q143" s="99">
        <f t="shared" si="124"/>
        <v>-200</v>
      </c>
      <c r="R143" s="99">
        <f t="shared" si="124"/>
        <v>-200</v>
      </c>
      <c r="S143" s="43"/>
      <c r="T143" s="69">
        <f>Variables!AI14*-1</f>
        <v>-200</v>
      </c>
      <c r="U143" s="43" t="str">
        <f>Variables!AH14</f>
        <v>Groceries</v>
      </c>
      <c r="V143" s="131">
        <f>Variables!AJ14</f>
        <v>0</v>
      </c>
      <c r="W143" s="246"/>
      <c r="X143" s="131"/>
      <c r="AD143" s="43"/>
      <c r="AE143" s="61"/>
      <c r="AG143" s="100"/>
      <c r="AH143" s="101"/>
      <c r="AJ143" s="102"/>
      <c r="AL143" s="102"/>
    </row>
    <row r="144" spans="4:38" x14ac:dyDescent="0.2">
      <c r="D144" s="286"/>
      <c r="E144" s="68" t="s">
        <v>6</v>
      </c>
      <c r="F144" s="39" t="str">
        <f t="shared" ref="F144:F152" si="125">U144</f>
        <v>Manual HH 2</v>
      </c>
      <c r="G144" s="99"/>
      <c r="H144" s="99"/>
      <c r="I144" s="99"/>
      <c r="J144" s="99"/>
      <c r="K144" s="99">
        <f t="shared" ref="K144:R144" si="126">$T$144</f>
        <v>0</v>
      </c>
      <c r="L144" s="99">
        <f t="shared" si="126"/>
        <v>0</v>
      </c>
      <c r="M144" s="99">
        <f t="shared" si="126"/>
        <v>0</v>
      </c>
      <c r="N144" s="99">
        <f t="shared" si="126"/>
        <v>0</v>
      </c>
      <c r="O144" s="99">
        <f t="shared" si="126"/>
        <v>0</v>
      </c>
      <c r="P144" s="99">
        <f t="shared" si="126"/>
        <v>0</v>
      </c>
      <c r="Q144" s="99">
        <f t="shared" si="126"/>
        <v>0</v>
      </c>
      <c r="R144" s="99">
        <f t="shared" si="126"/>
        <v>0</v>
      </c>
      <c r="T144" s="69">
        <f>Variables!AI15*-1</f>
        <v>0</v>
      </c>
      <c r="U144" s="43" t="str">
        <f>Variables!AH15</f>
        <v>Manual HH 2</v>
      </c>
      <c r="V144" s="131">
        <f>Variables!AJ15</f>
        <v>0</v>
      </c>
      <c r="W144" s="246"/>
      <c r="X144" s="131"/>
    </row>
    <row r="145" spans="4:39" x14ac:dyDescent="0.2">
      <c r="D145" s="286"/>
      <c r="E145" s="68" t="s">
        <v>6</v>
      </c>
      <c r="F145" s="39" t="str">
        <f t="shared" si="125"/>
        <v>Manual HH 3</v>
      </c>
      <c r="G145" s="99"/>
      <c r="H145" s="99"/>
      <c r="I145" s="99"/>
      <c r="J145" s="99"/>
      <c r="K145" s="99">
        <f t="shared" ref="K145:R145" si="127">$T$145</f>
        <v>0</v>
      </c>
      <c r="L145" s="99">
        <f t="shared" si="127"/>
        <v>0</v>
      </c>
      <c r="M145" s="99">
        <f t="shared" si="127"/>
        <v>0</v>
      </c>
      <c r="N145" s="99">
        <f t="shared" si="127"/>
        <v>0</v>
      </c>
      <c r="O145" s="99">
        <f t="shared" si="127"/>
        <v>0</v>
      </c>
      <c r="P145" s="99">
        <f t="shared" si="127"/>
        <v>0</v>
      </c>
      <c r="Q145" s="99">
        <f t="shared" si="127"/>
        <v>0</v>
      </c>
      <c r="R145" s="99">
        <f t="shared" si="127"/>
        <v>0</v>
      </c>
      <c r="T145" s="69">
        <f>Variables!AI16*-1</f>
        <v>0</v>
      </c>
      <c r="U145" s="43" t="str">
        <f>Variables!AH16</f>
        <v>Manual HH 3</v>
      </c>
      <c r="V145" s="131">
        <f>Variables!AJ16</f>
        <v>0</v>
      </c>
      <c r="W145" s="246"/>
      <c r="X145" s="131"/>
    </row>
    <row r="146" spans="4:39" x14ac:dyDescent="0.2">
      <c r="D146" s="286"/>
      <c r="E146" s="68" t="s">
        <v>6</v>
      </c>
      <c r="F146" s="39" t="str">
        <f t="shared" si="125"/>
        <v>Manual HH 4</v>
      </c>
      <c r="G146" s="99"/>
      <c r="H146" s="99"/>
      <c r="I146" s="99"/>
      <c r="J146" s="99"/>
      <c r="K146" s="99">
        <f t="shared" ref="K146:R146" si="128">$T$146</f>
        <v>0</v>
      </c>
      <c r="L146" s="99">
        <f t="shared" si="128"/>
        <v>0</v>
      </c>
      <c r="M146" s="99">
        <f t="shared" si="128"/>
        <v>0</v>
      </c>
      <c r="N146" s="99">
        <f t="shared" si="128"/>
        <v>0</v>
      </c>
      <c r="O146" s="99">
        <f t="shared" si="128"/>
        <v>0</v>
      </c>
      <c r="P146" s="99">
        <f t="shared" si="128"/>
        <v>0</v>
      </c>
      <c r="Q146" s="99">
        <f t="shared" si="128"/>
        <v>0</v>
      </c>
      <c r="R146" s="99">
        <f t="shared" si="128"/>
        <v>0</v>
      </c>
      <c r="T146" s="69">
        <f>Variables!AI17*-1</f>
        <v>0</v>
      </c>
      <c r="U146" s="43" t="str">
        <f>Variables!AH17</f>
        <v>Manual HH 4</v>
      </c>
      <c r="V146" s="131">
        <f>Variables!AJ17</f>
        <v>0</v>
      </c>
      <c r="W146" s="246"/>
      <c r="X146" s="131"/>
      <c r="AM146" s="102"/>
    </row>
    <row r="147" spans="4:39" x14ac:dyDescent="0.2">
      <c r="D147" s="286"/>
      <c r="E147" s="68" t="s">
        <v>6</v>
      </c>
      <c r="F147" s="39" t="str">
        <f t="shared" si="125"/>
        <v>Manual HH 5</v>
      </c>
      <c r="G147" s="99"/>
      <c r="H147" s="99"/>
      <c r="I147" s="99"/>
      <c r="J147" s="99"/>
      <c r="K147" s="99">
        <f t="shared" ref="K147:R147" si="129">$T$147</f>
        <v>0</v>
      </c>
      <c r="L147" s="99">
        <f t="shared" si="129"/>
        <v>0</v>
      </c>
      <c r="M147" s="99">
        <f t="shared" si="129"/>
        <v>0</v>
      </c>
      <c r="N147" s="99">
        <f t="shared" si="129"/>
        <v>0</v>
      </c>
      <c r="O147" s="99">
        <f t="shared" si="129"/>
        <v>0</v>
      </c>
      <c r="P147" s="99">
        <f t="shared" si="129"/>
        <v>0</v>
      </c>
      <c r="Q147" s="99">
        <f t="shared" si="129"/>
        <v>0</v>
      </c>
      <c r="R147" s="99">
        <f t="shared" si="129"/>
        <v>0</v>
      </c>
      <c r="T147" s="69">
        <f>Variables!AI18*-1</f>
        <v>0</v>
      </c>
      <c r="U147" s="43" t="str">
        <f>Variables!AH18</f>
        <v>Manual HH 5</v>
      </c>
      <c r="V147" s="131">
        <f>Variables!AJ18</f>
        <v>0</v>
      </c>
      <c r="W147" s="246"/>
      <c r="X147" s="131"/>
    </row>
    <row r="148" spans="4:39" x14ac:dyDescent="0.2">
      <c r="D148" s="286"/>
      <c r="E148" s="68" t="s">
        <v>6</v>
      </c>
      <c r="F148" s="39" t="str">
        <f t="shared" si="125"/>
        <v>Manual HH 6</v>
      </c>
      <c r="G148" s="99"/>
      <c r="H148" s="99"/>
      <c r="I148" s="99"/>
      <c r="J148" s="99"/>
      <c r="K148" s="99">
        <f t="shared" ref="K148:R148" si="130">$T$148</f>
        <v>0</v>
      </c>
      <c r="L148" s="99">
        <f t="shared" si="130"/>
        <v>0</v>
      </c>
      <c r="M148" s="99">
        <f t="shared" si="130"/>
        <v>0</v>
      </c>
      <c r="N148" s="99">
        <f t="shared" si="130"/>
        <v>0</v>
      </c>
      <c r="O148" s="99">
        <f t="shared" si="130"/>
        <v>0</v>
      </c>
      <c r="P148" s="99">
        <f t="shared" si="130"/>
        <v>0</v>
      </c>
      <c r="Q148" s="99">
        <f t="shared" si="130"/>
        <v>0</v>
      </c>
      <c r="R148" s="99">
        <f t="shared" si="130"/>
        <v>0</v>
      </c>
      <c r="T148" s="69">
        <f>Variables!AI19*-1</f>
        <v>0</v>
      </c>
      <c r="U148" s="43" t="str">
        <f>Variables!AH19</f>
        <v>Manual HH 6</v>
      </c>
      <c r="V148" s="131">
        <f>Variables!AJ19</f>
        <v>0</v>
      </c>
      <c r="W148" s="246"/>
      <c r="X148" s="131"/>
    </row>
    <row r="149" spans="4:39" x14ac:dyDescent="0.2">
      <c r="D149" s="286"/>
      <c r="E149" s="68" t="s">
        <v>6</v>
      </c>
      <c r="F149" s="39" t="str">
        <f t="shared" si="125"/>
        <v>Manual HH 7</v>
      </c>
      <c r="G149" s="99"/>
      <c r="H149" s="99"/>
      <c r="I149" s="99"/>
      <c r="J149" s="99"/>
      <c r="K149" s="99">
        <f t="shared" ref="K149:R149" si="131">$T$149</f>
        <v>0</v>
      </c>
      <c r="L149" s="99">
        <f t="shared" si="131"/>
        <v>0</v>
      </c>
      <c r="M149" s="99">
        <f t="shared" si="131"/>
        <v>0</v>
      </c>
      <c r="N149" s="99">
        <f t="shared" si="131"/>
        <v>0</v>
      </c>
      <c r="O149" s="99">
        <f t="shared" si="131"/>
        <v>0</v>
      </c>
      <c r="P149" s="99">
        <f t="shared" si="131"/>
        <v>0</v>
      </c>
      <c r="Q149" s="99">
        <f t="shared" si="131"/>
        <v>0</v>
      </c>
      <c r="R149" s="99">
        <f t="shared" si="131"/>
        <v>0</v>
      </c>
      <c r="T149" s="69">
        <f>Variables!AI20*-1</f>
        <v>0</v>
      </c>
      <c r="U149" s="43" t="str">
        <f>Variables!AH20</f>
        <v>Manual HH 7</v>
      </c>
      <c r="V149" s="131">
        <f>Variables!AJ20</f>
        <v>0</v>
      </c>
      <c r="W149" s="246"/>
      <c r="X149" s="131"/>
    </row>
    <row r="150" spans="4:39" x14ac:dyDescent="0.2">
      <c r="D150" s="286"/>
      <c r="E150" s="68" t="s">
        <v>6</v>
      </c>
      <c r="F150" s="39" t="str">
        <f t="shared" si="125"/>
        <v>Manual HH 8</v>
      </c>
      <c r="G150" s="99"/>
      <c r="H150" s="99"/>
      <c r="I150" s="99"/>
      <c r="J150" s="99"/>
      <c r="K150" s="99">
        <f t="shared" ref="K150:R150" si="132">$T$150</f>
        <v>0</v>
      </c>
      <c r="L150" s="99">
        <f t="shared" si="132"/>
        <v>0</v>
      </c>
      <c r="M150" s="99">
        <f t="shared" si="132"/>
        <v>0</v>
      </c>
      <c r="N150" s="99">
        <f t="shared" si="132"/>
        <v>0</v>
      </c>
      <c r="O150" s="99">
        <f t="shared" si="132"/>
        <v>0</v>
      </c>
      <c r="P150" s="99">
        <f t="shared" si="132"/>
        <v>0</v>
      </c>
      <c r="Q150" s="99">
        <f t="shared" si="132"/>
        <v>0</v>
      </c>
      <c r="R150" s="99">
        <f t="shared" si="132"/>
        <v>0</v>
      </c>
      <c r="T150" s="69">
        <f>Variables!AI21*-1</f>
        <v>0</v>
      </c>
      <c r="U150" s="43" t="str">
        <f>Variables!AH21</f>
        <v>Manual HH 8</v>
      </c>
      <c r="V150" s="131">
        <f>Variables!AJ21</f>
        <v>0</v>
      </c>
      <c r="W150" s="246"/>
      <c r="X150" s="131"/>
    </row>
    <row r="151" spans="4:39" x14ac:dyDescent="0.2">
      <c r="D151" s="286"/>
      <c r="E151" s="68" t="s">
        <v>6</v>
      </c>
      <c r="F151" s="39" t="str">
        <f t="shared" si="125"/>
        <v>Manual HH 9</v>
      </c>
      <c r="G151" s="99"/>
      <c r="H151" s="99"/>
      <c r="I151" s="99"/>
      <c r="J151" s="99"/>
      <c r="K151" s="99">
        <f t="shared" ref="K151:R151" si="133">$T$151</f>
        <v>0</v>
      </c>
      <c r="L151" s="99">
        <f t="shared" si="133"/>
        <v>0</v>
      </c>
      <c r="M151" s="99">
        <f t="shared" si="133"/>
        <v>0</v>
      </c>
      <c r="N151" s="99">
        <f t="shared" si="133"/>
        <v>0</v>
      </c>
      <c r="O151" s="99">
        <f t="shared" si="133"/>
        <v>0</v>
      </c>
      <c r="P151" s="99">
        <f t="shared" si="133"/>
        <v>0</v>
      </c>
      <c r="Q151" s="99">
        <f t="shared" si="133"/>
        <v>0</v>
      </c>
      <c r="R151" s="99">
        <f t="shared" si="133"/>
        <v>0</v>
      </c>
      <c r="T151" s="69">
        <f>Variables!AI22*-1</f>
        <v>0</v>
      </c>
      <c r="U151" s="43" t="str">
        <f>Variables!AH22</f>
        <v>Manual HH 9</v>
      </c>
      <c r="V151" s="131">
        <f>Variables!AJ22</f>
        <v>0</v>
      </c>
      <c r="W151" s="246"/>
      <c r="X151" s="131"/>
    </row>
    <row r="152" spans="4:39" x14ac:dyDescent="0.2">
      <c r="D152" s="287"/>
      <c r="E152" s="68" t="s">
        <v>6</v>
      </c>
      <c r="F152" s="39" t="str">
        <f t="shared" si="125"/>
        <v>Manual HH 10</v>
      </c>
      <c r="G152" s="99"/>
      <c r="H152" s="99"/>
      <c r="I152" s="99"/>
      <c r="J152" s="99"/>
      <c r="K152" s="99">
        <f t="shared" ref="K152:R152" si="134">$T$152</f>
        <v>0</v>
      </c>
      <c r="L152" s="99">
        <f t="shared" si="134"/>
        <v>0</v>
      </c>
      <c r="M152" s="99">
        <f t="shared" si="134"/>
        <v>0</v>
      </c>
      <c r="N152" s="99">
        <f t="shared" si="134"/>
        <v>0</v>
      </c>
      <c r="O152" s="99">
        <f t="shared" si="134"/>
        <v>0</v>
      </c>
      <c r="P152" s="99">
        <f t="shared" si="134"/>
        <v>0</v>
      </c>
      <c r="Q152" s="99">
        <f t="shared" si="134"/>
        <v>0</v>
      </c>
      <c r="R152" s="99">
        <f t="shared" si="134"/>
        <v>0</v>
      </c>
      <c r="T152" s="69">
        <f>Variables!AI23*-1</f>
        <v>0</v>
      </c>
      <c r="U152" s="43" t="str">
        <f>Variables!AH23</f>
        <v>Manual HH 10</v>
      </c>
      <c r="V152" s="131">
        <f>Variables!AJ23</f>
        <v>0</v>
      </c>
      <c r="W152" s="247"/>
      <c r="X152" s="131"/>
    </row>
    <row r="153" spans="4:39" x14ac:dyDescent="0.2">
      <c r="D153" s="297" t="s">
        <v>65</v>
      </c>
      <c r="E153" s="68" t="s">
        <v>6</v>
      </c>
      <c r="F153" s="40" t="str">
        <f>U153</f>
        <v>Unplanned Expense</v>
      </c>
      <c r="G153" s="103"/>
      <c r="H153" s="103"/>
      <c r="I153" s="103"/>
      <c r="J153" s="103"/>
      <c r="K153" s="103"/>
      <c r="L153" s="103"/>
      <c r="M153" s="103"/>
      <c r="N153" s="103"/>
      <c r="O153" s="103"/>
      <c r="P153" s="103"/>
      <c r="Q153" s="103"/>
      <c r="R153" s="103"/>
      <c r="S153" s="43"/>
      <c r="T153" s="54" t="s">
        <v>205</v>
      </c>
      <c r="U153" s="54" t="s">
        <v>53</v>
      </c>
      <c r="V153" s="131"/>
      <c r="W153" s="248" t="s">
        <v>65</v>
      </c>
      <c r="X153" s="131"/>
    </row>
    <row r="154" spans="4:39" x14ac:dyDescent="0.2">
      <c r="D154" s="298"/>
      <c r="E154" s="68" t="s">
        <v>6</v>
      </c>
      <c r="F154" s="40" t="str">
        <f t="shared" ref="F154:F157" si="135">U154</f>
        <v>Unplanned Expense</v>
      </c>
      <c r="G154" s="103"/>
      <c r="H154" s="103"/>
      <c r="I154" s="103"/>
      <c r="J154" s="103"/>
      <c r="K154" s="103"/>
      <c r="L154" s="103"/>
      <c r="M154" s="103"/>
      <c r="N154" s="103"/>
      <c r="O154" s="103"/>
      <c r="P154" s="103"/>
      <c r="Q154" s="103"/>
      <c r="R154" s="103"/>
      <c r="S154" s="43"/>
      <c r="T154" s="54" t="s">
        <v>205</v>
      </c>
      <c r="U154" s="54" t="s">
        <v>53</v>
      </c>
      <c r="V154" s="131"/>
      <c r="W154" s="249"/>
      <c r="X154" s="131"/>
    </row>
    <row r="155" spans="4:39" x14ac:dyDescent="0.2">
      <c r="D155" s="298"/>
      <c r="E155" s="68" t="s">
        <v>6</v>
      </c>
      <c r="F155" s="40" t="str">
        <f t="shared" si="135"/>
        <v>Unplanned Expense</v>
      </c>
      <c r="G155" s="103"/>
      <c r="H155" s="103"/>
      <c r="I155" s="103"/>
      <c r="J155" s="103"/>
      <c r="K155" s="103"/>
      <c r="L155" s="103"/>
      <c r="M155" s="103"/>
      <c r="N155" s="103"/>
      <c r="O155" s="103"/>
      <c r="P155" s="103"/>
      <c r="Q155" s="103"/>
      <c r="R155" s="103"/>
      <c r="S155" s="43"/>
      <c r="T155" s="54" t="s">
        <v>205</v>
      </c>
      <c r="U155" s="54" t="s">
        <v>53</v>
      </c>
      <c r="V155" s="131"/>
      <c r="W155" s="249"/>
      <c r="X155" s="131"/>
    </row>
    <row r="156" spans="4:39" x14ac:dyDescent="0.2">
      <c r="D156" s="298"/>
      <c r="E156" s="68" t="s">
        <v>6</v>
      </c>
      <c r="F156" s="40" t="str">
        <f t="shared" si="135"/>
        <v>Unplanned Expense</v>
      </c>
      <c r="G156" s="103"/>
      <c r="H156" s="103"/>
      <c r="I156" s="103"/>
      <c r="J156" s="103"/>
      <c r="K156" s="103"/>
      <c r="L156" s="103"/>
      <c r="M156" s="103"/>
      <c r="N156" s="103"/>
      <c r="O156" s="103"/>
      <c r="P156" s="103"/>
      <c r="Q156" s="103"/>
      <c r="R156" s="103"/>
      <c r="S156" s="43"/>
      <c r="T156" s="54" t="s">
        <v>205</v>
      </c>
      <c r="U156" s="54" t="s">
        <v>53</v>
      </c>
      <c r="V156" s="131"/>
      <c r="W156" s="249"/>
      <c r="X156" s="131"/>
    </row>
    <row r="157" spans="4:39" x14ac:dyDescent="0.2">
      <c r="D157" s="298"/>
      <c r="E157" s="68" t="s">
        <v>6</v>
      </c>
      <c r="F157" s="40" t="str">
        <f t="shared" si="135"/>
        <v>Unplanned Expense</v>
      </c>
      <c r="G157" s="103"/>
      <c r="H157" s="103"/>
      <c r="I157" s="103"/>
      <c r="J157" s="103"/>
      <c r="K157" s="103"/>
      <c r="L157" s="103"/>
      <c r="M157" s="103"/>
      <c r="N157" s="103"/>
      <c r="O157" s="103"/>
      <c r="P157" s="103"/>
      <c r="Q157" s="103"/>
      <c r="R157" s="103"/>
      <c r="S157" s="43"/>
      <c r="T157" s="54" t="s">
        <v>205</v>
      </c>
      <c r="U157" s="54" t="s">
        <v>53</v>
      </c>
      <c r="V157" s="131"/>
      <c r="W157" s="249"/>
      <c r="X157" s="131"/>
    </row>
    <row r="158" spans="4:39" x14ac:dyDescent="0.2">
      <c r="D158" s="298"/>
      <c r="E158" s="68" t="s">
        <v>6</v>
      </c>
      <c r="F158" s="40" t="str">
        <f>U158</f>
        <v>Unplanned Expense</v>
      </c>
      <c r="G158" s="103"/>
      <c r="H158" s="103"/>
      <c r="I158" s="103"/>
      <c r="J158" s="103"/>
      <c r="K158" s="103"/>
      <c r="L158" s="103"/>
      <c r="M158" s="103"/>
      <c r="N158" s="103"/>
      <c r="O158" s="103"/>
      <c r="P158" s="103"/>
      <c r="Q158" s="103"/>
      <c r="R158" s="103"/>
      <c r="S158" s="43"/>
      <c r="T158" s="54" t="s">
        <v>205</v>
      </c>
      <c r="U158" s="54" t="s">
        <v>53</v>
      </c>
      <c r="V158" s="131"/>
      <c r="W158" s="249"/>
      <c r="X158" s="131"/>
    </row>
    <row r="159" spans="4:39" x14ac:dyDescent="0.2">
      <c r="D159" s="298"/>
      <c r="E159" s="68" t="s">
        <v>6</v>
      </c>
      <c r="F159" s="40" t="str">
        <f t="shared" ref="F159:F162" si="136">U159</f>
        <v>Unplanned Expense</v>
      </c>
      <c r="G159" s="103"/>
      <c r="H159" s="103"/>
      <c r="I159" s="103"/>
      <c r="J159" s="103"/>
      <c r="K159" s="103"/>
      <c r="L159" s="103"/>
      <c r="M159" s="103"/>
      <c r="N159" s="103"/>
      <c r="O159" s="103"/>
      <c r="P159" s="103"/>
      <c r="Q159" s="103"/>
      <c r="R159" s="103"/>
      <c r="T159" s="54" t="s">
        <v>205</v>
      </c>
      <c r="U159" s="54" t="s">
        <v>53</v>
      </c>
      <c r="V159" s="141"/>
      <c r="W159" s="249"/>
      <c r="X159" s="141"/>
    </row>
    <row r="160" spans="4:39" x14ac:dyDescent="0.2">
      <c r="D160" s="298"/>
      <c r="E160" s="68" t="s">
        <v>6</v>
      </c>
      <c r="F160" s="40" t="str">
        <f t="shared" si="136"/>
        <v>Unplanned Expense</v>
      </c>
      <c r="G160" s="103"/>
      <c r="H160" s="103"/>
      <c r="I160" s="103"/>
      <c r="J160" s="103"/>
      <c r="K160" s="103"/>
      <c r="L160" s="103"/>
      <c r="M160" s="103"/>
      <c r="N160" s="103"/>
      <c r="O160" s="103"/>
      <c r="P160" s="103"/>
      <c r="Q160" s="103"/>
      <c r="R160" s="103"/>
      <c r="T160" s="54" t="s">
        <v>205</v>
      </c>
      <c r="U160" s="54" t="s">
        <v>53</v>
      </c>
      <c r="V160" s="141"/>
      <c r="W160" s="249"/>
      <c r="X160" s="141"/>
    </row>
    <row r="161" spans="4:24" x14ac:dyDescent="0.2">
      <c r="D161" s="298"/>
      <c r="E161" s="68" t="s">
        <v>6</v>
      </c>
      <c r="F161" s="40" t="str">
        <f t="shared" si="136"/>
        <v>Unplanned Expense</v>
      </c>
      <c r="G161" s="103"/>
      <c r="H161" s="103"/>
      <c r="I161" s="103"/>
      <c r="J161" s="103"/>
      <c r="K161" s="103"/>
      <c r="L161" s="103"/>
      <c r="M161" s="103"/>
      <c r="N161" s="103"/>
      <c r="O161" s="103"/>
      <c r="P161" s="103"/>
      <c r="Q161" s="103"/>
      <c r="R161" s="103"/>
      <c r="T161" s="54" t="s">
        <v>205</v>
      </c>
      <c r="U161" s="54" t="s">
        <v>53</v>
      </c>
      <c r="V161" s="141"/>
      <c r="W161" s="249"/>
      <c r="X161" s="141"/>
    </row>
    <row r="162" spans="4:24" x14ac:dyDescent="0.2">
      <c r="D162" s="299"/>
      <c r="E162" s="68" t="s">
        <v>6</v>
      </c>
      <c r="F162" s="40" t="str">
        <f t="shared" si="136"/>
        <v>Unplanned Expense</v>
      </c>
      <c r="G162" s="103"/>
      <c r="H162" s="103"/>
      <c r="I162" s="103"/>
      <c r="J162" s="103"/>
      <c r="K162" s="103"/>
      <c r="L162" s="103"/>
      <c r="M162" s="103"/>
      <c r="N162" s="103"/>
      <c r="O162" s="103"/>
      <c r="P162" s="103"/>
      <c r="Q162" s="103"/>
      <c r="R162" s="103"/>
      <c r="T162" s="54" t="s">
        <v>205</v>
      </c>
      <c r="U162" s="54" t="s">
        <v>53</v>
      </c>
      <c r="V162" s="141"/>
      <c r="W162" s="250"/>
      <c r="X162" s="141"/>
    </row>
    <row r="163" spans="4:24" x14ac:dyDescent="0.2">
      <c r="D163" s="300" t="str">
        <f>Variables!$AL$2</f>
        <v>Scheduled Deposits</v>
      </c>
      <c r="E163" s="68" t="s">
        <v>6</v>
      </c>
      <c r="F163" s="41" t="str">
        <f>U163</f>
        <v>Family half of Verizon</v>
      </c>
      <c r="G163" s="104"/>
      <c r="H163" s="104"/>
      <c r="I163" s="104"/>
      <c r="J163" s="104"/>
      <c r="K163" s="104">
        <f t="shared" ref="K163:R163" si="137">$T$163</f>
        <v>110</v>
      </c>
      <c r="L163" s="104">
        <f t="shared" si="137"/>
        <v>110</v>
      </c>
      <c r="M163" s="104">
        <f t="shared" si="137"/>
        <v>110</v>
      </c>
      <c r="N163" s="104">
        <f t="shared" si="137"/>
        <v>110</v>
      </c>
      <c r="O163" s="104">
        <f t="shared" si="137"/>
        <v>110</v>
      </c>
      <c r="P163" s="104">
        <f t="shared" si="137"/>
        <v>110</v>
      </c>
      <c r="Q163" s="104">
        <f t="shared" si="137"/>
        <v>110</v>
      </c>
      <c r="R163" s="104">
        <f t="shared" si="137"/>
        <v>110</v>
      </c>
      <c r="S163" s="43"/>
      <c r="T163" s="61">
        <f>Variables!AM3</f>
        <v>110</v>
      </c>
      <c r="U163" s="43" t="str">
        <f>Variables!AL3</f>
        <v>Family half of Verizon</v>
      </c>
      <c r="V163" s="131">
        <f>Variables!AN3</f>
        <v>0</v>
      </c>
      <c r="W163" s="251" t="str">
        <f>Variables!$AL$2</f>
        <v>Scheduled Deposits</v>
      </c>
      <c r="X163" s="131"/>
    </row>
    <row r="164" spans="4:24" x14ac:dyDescent="0.2">
      <c r="D164" s="301"/>
      <c r="E164" s="68" t="s">
        <v>6</v>
      </c>
      <c r="F164" s="41" t="str">
        <f t="shared" ref="F164:F172" si="138">U164</f>
        <v>Etc 1</v>
      </c>
      <c r="G164" s="104"/>
      <c r="H164" s="104"/>
      <c r="I164" s="104"/>
      <c r="J164" s="104"/>
      <c r="K164" s="104">
        <f t="shared" ref="K164:R164" si="139">$T$164</f>
        <v>0</v>
      </c>
      <c r="L164" s="104">
        <f t="shared" si="139"/>
        <v>0</v>
      </c>
      <c r="M164" s="104">
        <f t="shared" si="139"/>
        <v>0</v>
      </c>
      <c r="N164" s="104">
        <f t="shared" si="139"/>
        <v>0</v>
      </c>
      <c r="O164" s="104">
        <f t="shared" si="139"/>
        <v>0</v>
      </c>
      <c r="P164" s="104">
        <f t="shared" si="139"/>
        <v>0</v>
      </c>
      <c r="Q164" s="104">
        <f t="shared" si="139"/>
        <v>0</v>
      </c>
      <c r="R164" s="104">
        <f t="shared" si="139"/>
        <v>0</v>
      </c>
      <c r="S164" s="43"/>
      <c r="T164" s="69">
        <f>Variables!AM4</f>
        <v>0</v>
      </c>
      <c r="U164" s="43" t="str">
        <f>Variables!AL4</f>
        <v>Etc 1</v>
      </c>
      <c r="V164" s="131">
        <f>Variables!AN4</f>
        <v>0</v>
      </c>
      <c r="W164" s="252"/>
      <c r="X164" s="131"/>
    </row>
    <row r="165" spans="4:24" x14ac:dyDescent="0.2">
      <c r="D165" s="301"/>
      <c r="E165" s="68" t="s">
        <v>6</v>
      </c>
      <c r="F165" s="41" t="str">
        <f t="shared" si="138"/>
        <v>Etc 2</v>
      </c>
      <c r="G165" s="104"/>
      <c r="H165" s="104"/>
      <c r="I165" s="104"/>
      <c r="J165" s="104"/>
      <c r="K165" s="104">
        <f t="shared" ref="K165:R165" si="140">$T$165</f>
        <v>0</v>
      </c>
      <c r="L165" s="104">
        <f t="shared" si="140"/>
        <v>0</v>
      </c>
      <c r="M165" s="104">
        <f t="shared" si="140"/>
        <v>0</v>
      </c>
      <c r="N165" s="104">
        <f t="shared" si="140"/>
        <v>0</v>
      </c>
      <c r="O165" s="104">
        <f t="shared" si="140"/>
        <v>0</v>
      </c>
      <c r="P165" s="104">
        <f t="shared" si="140"/>
        <v>0</v>
      </c>
      <c r="Q165" s="104">
        <f t="shared" si="140"/>
        <v>0</v>
      </c>
      <c r="R165" s="104">
        <f t="shared" si="140"/>
        <v>0</v>
      </c>
      <c r="S165" s="43"/>
      <c r="T165" s="69">
        <f>Variables!AM5</f>
        <v>0</v>
      </c>
      <c r="U165" s="43" t="str">
        <f>Variables!AL5</f>
        <v>Etc 2</v>
      </c>
      <c r="V165" s="131">
        <f>Variables!AN5</f>
        <v>0</v>
      </c>
      <c r="W165" s="252"/>
      <c r="X165" s="131"/>
    </row>
    <row r="166" spans="4:24" x14ac:dyDescent="0.2">
      <c r="D166" s="301"/>
      <c r="E166" s="68" t="s">
        <v>6</v>
      </c>
      <c r="F166" s="41" t="str">
        <f t="shared" si="138"/>
        <v>Etc 3</v>
      </c>
      <c r="G166" s="104"/>
      <c r="H166" s="104"/>
      <c r="I166" s="104"/>
      <c r="J166" s="104"/>
      <c r="K166" s="104">
        <f t="shared" ref="K166:R166" si="141">$T$166</f>
        <v>0</v>
      </c>
      <c r="L166" s="104">
        <f t="shared" si="141"/>
        <v>0</v>
      </c>
      <c r="M166" s="104">
        <f t="shared" si="141"/>
        <v>0</v>
      </c>
      <c r="N166" s="104">
        <f t="shared" si="141"/>
        <v>0</v>
      </c>
      <c r="O166" s="104">
        <f t="shared" si="141"/>
        <v>0</v>
      </c>
      <c r="P166" s="104">
        <f t="shared" si="141"/>
        <v>0</v>
      </c>
      <c r="Q166" s="104">
        <f t="shared" si="141"/>
        <v>0</v>
      </c>
      <c r="R166" s="104">
        <f t="shared" si="141"/>
        <v>0</v>
      </c>
      <c r="S166" s="43"/>
      <c r="T166" s="69">
        <f>Variables!AM6</f>
        <v>0</v>
      </c>
      <c r="U166" s="43" t="str">
        <f>Variables!AL6</f>
        <v>Etc 3</v>
      </c>
      <c r="V166" s="131">
        <f>Variables!AN6</f>
        <v>0</v>
      </c>
      <c r="W166" s="252"/>
      <c r="X166" s="131"/>
    </row>
    <row r="167" spans="4:24" x14ac:dyDescent="0.2">
      <c r="D167" s="301"/>
      <c r="E167" s="68" t="s">
        <v>6</v>
      </c>
      <c r="F167" s="41" t="str">
        <f t="shared" si="138"/>
        <v>Etc 4</v>
      </c>
      <c r="G167" s="104"/>
      <c r="H167" s="104"/>
      <c r="I167" s="104"/>
      <c r="J167" s="104"/>
      <c r="K167" s="104">
        <f t="shared" ref="K167:Q167" si="142">$T$167</f>
        <v>0</v>
      </c>
      <c r="L167" s="104">
        <f t="shared" si="142"/>
        <v>0</v>
      </c>
      <c r="M167" s="104">
        <f t="shared" si="142"/>
        <v>0</v>
      </c>
      <c r="N167" s="104">
        <f t="shared" si="142"/>
        <v>0</v>
      </c>
      <c r="O167" s="104">
        <f t="shared" si="142"/>
        <v>0</v>
      </c>
      <c r="P167" s="104">
        <f t="shared" si="142"/>
        <v>0</v>
      </c>
      <c r="Q167" s="104">
        <f t="shared" si="142"/>
        <v>0</v>
      </c>
      <c r="R167" s="104">
        <f>$T$167</f>
        <v>0</v>
      </c>
      <c r="T167" s="69">
        <f>Variables!AM7</f>
        <v>0</v>
      </c>
      <c r="U167" s="43" t="str">
        <f>Variables!AL7</f>
        <v>Etc 4</v>
      </c>
      <c r="V167" s="131">
        <f>Variables!AN7</f>
        <v>0</v>
      </c>
      <c r="W167" s="252"/>
      <c r="X167" s="131"/>
    </row>
    <row r="168" spans="4:24" x14ac:dyDescent="0.2">
      <c r="D168" s="301"/>
      <c r="E168" s="68" t="s">
        <v>6</v>
      </c>
      <c r="F168" s="41" t="str">
        <f t="shared" si="138"/>
        <v>Etc 5</v>
      </c>
      <c r="G168" s="104"/>
      <c r="H168" s="104"/>
      <c r="I168" s="104"/>
      <c r="J168" s="104"/>
      <c r="K168" s="104">
        <f t="shared" ref="K168:Q168" si="143">$T$168</f>
        <v>0</v>
      </c>
      <c r="L168" s="104">
        <f t="shared" si="143"/>
        <v>0</v>
      </c>
      <c r="M168" s="104">
        <f t="shared" si="143"/>
        <v>0</v>
      </c>
      <c r="N168" s="104">
        <f t="shared" si="143"/>
        <v>0</v>
      </c>
      <c r="O168" s="104">
        <f t="shared" si="143"/>
        <v>0</v>
      </c>
      <c r="P168" s="104">
        <f t="shared" si="143"/>
        <v>0</v>
      </c>
      <c r="Q168" s="104">
        <f t="shared" si="143"/>
        <v>0</v>
      </c>
      <c r="R168" s="104">
        <f>$T$168</f>
        <v>0</v>
      </c>
      <c r="T168" s="69">
        <f>Variables!AM8</f>
        <v>0</v>
      </c>
      <c r="U168" s="43" t="str">
        <f>Variables!AL8</f>
        <v>Etc 5</v>
      </c>
      <c r="V168" s="131">
        <f>Variables!AN8</f>
        <v>0</v>
      </c>
      <c r="W168" s="252"/>
      <c r="X168" s="131"/>
    </row>
    <row r="169" spans="4:24" x14ac:dyDescent="0.2">
      <c r="D169" s="301"/>
      <c r="E169" s="68" t="s">
        <v>6</v>
      </c>
      <c r="F169" s="41" t="str">
        <f t="shared" si="138"/>
        <v>Etc 6</v>
      </c>
      <c r="G169" s="104"/>
      <c r="H169" s="104"/>
      <c r="I169" s="104"/>
      <c r="J169" s="104"/>
      <c r="K169" s="104">
        <f t="shared" ref="K169:Q169" si="144">$T$169</f>
        <v>0</v>
      </c>
      <c r="L169" s="104">
        <f t="shared" si="144"/>
        <v>0</v>
      </c>
      <c r="M169" s="104">
        <f t="shared" si="144"/>
        <v>0</v>
      </c>
      <c r="N169" s="104">
        <f t="shared" si="144"/>
        <v>0</v>
      </c>
      <c r="O169" s="104">
        <f t="shared" si="144"/>
        <v>0</v>
      </c>
      <c r="P169" s="104">
        <f t="shared" si="144"/>
        <v>0</v>
      </c>
      <c r="Q169" s="104">
        <f t="shared" si="144"/>
        <v>0</v>
      </c>
      <c r="R169" s="104">
        <f>$T$169</f>
        <v>0</v>
      </c>
      <c r="T169" s="69">
        <f>Variables!AM9</f>
        <v>0</v>
      </c>
      <c r="U169" s="43" t="str">
        <f>Variables!AL9</f>
        <v>Etc 6</v>
      </c>
      <c r="V169" s="131">
        <f>Variables!AN9</f>
        <v>0</v>
      </c>
      <c r="W169" s="252"/>
      <c r="X169" s="131"/>
    </row>
    <row r="170" spans="4:24" x14ac:dyDescent="0.2">
      <c r="D170" s="301"/>
      <c r="E170" s="68" t="s">
        <v>6</v>
      </c>
      <c r="F170" s="41" t="str">
        <f t="shared" si="138"/>
        <v>Etc 7</v>
      </c>
      <c r="G170" s="104"/>
      <c r="H170" s="104"/>
      <c r="I170" s="104"/>
      <c r="J170" s="104"/>
      <c r="K170" s="104">
        <f t="shared" ref="K170:Q170" si="145">$T$170</f>
        <v>0</v>
      </c>
      <c r="L170" s="104">
        <f t="shared" si="145"/>
        <v>0</v>
      </c>
      <c r="M170" s="104">
        <f t="shared" si="145"/>
        <v>0</v>
      </c>
      <c r="N170" s="104">
        <f t="shared" si="145"/>
        <v>0</v>
      </c>
      <c r="O170" s="104">
        <f t="shared" si="145"/>
        <v>0</v>
      </c>
      <c r="P170" s="104">
        <f t="shared" si="145"/>
        <v>0</v>
      </c>
      <c r="Q170" s="104">
        <f t="shared" si="145"/>
        <v>0</v>
      </c>
      <c r="R170" s="104">
        <f>$T$170</f>
        <v>0</v>
      </c>
      <c r="T170" s="69">
        <f>Variables!AM10</f>
        <v>0</v>
      </c>
      <c r="U170" s="43" t="str">
        <f>Variables!AL10</f>
        <v>Etc 7</v>
      </c>
      <c r="V170" s="131">
        <f>Variables!AN10</f>
        <v>0</v>
      </c>
      <c r="W170" s="252"/>
      <c r="X170" s="131"/>
    </row>
    <row r="171" spans="4:24" x14ac:dyDescent="0.2">
      <c r="D171" s="301"/>
      <c r="E171" s="68" t="s">
        <v>6</v>
      </c>
      <c r="F171" s="41" t="str">
        <f t="shared" si="138"/>
        <v>Etc 8</v>
      </c>
      <c r="G171" s="104"/>
      <c r="H171" s="104"/>
      <c r="I171" s="104"/>
      <c r="J171" s="104"/>
      <c r="K171" s="104">
        <f t="shared" ref="K171:Q171" si="146">$T$171</f>
        <v>0</v>
      </c>
      <c r="L171" s="104">
        <f t="shared" si="146"/>
        <v>0</v>
      </c>
      <c r="M171" s="104">
        <f t="shared" si="146"/>
        <v>0</v>
      </c>
      <c r="N171" s="104">
        <f t="shared" si="146"/>
        <v>0</v>
      </c>
      <c r="O171" s="104">
        <f t="shared" si="146"/>
        <v>0</v>
      </c>
      <c r="P171" s="104">
        <f t="shared" si="146"/>
        <v>0</v>
      </c>
      <c r="Q171" s="104">
        <f t="shared" si="146"/>
        <v>0</v>
      </c>
      <c r="R171" s="104">
        <f>$T$171</f>
        <v>0</v>
      </c>
      <c r="T171" s="69">
        <f>Variables!AM11</f>
        <v>0</v>
      </c>
      <c r="U171" s="43" t="str">
        <f>Variables!AL11</f>
        <v>Etc 8</v>
      </c>
      <c r="V171" s="131">
        <f>Variables!AN11</f>
        <v>0</v>
      </c>
      <c r="W171" s="252"/>
      <c r="X171" s="131"/>
    </row>
    <row r="172" spans="4:24" x14ac:dyDescent="0.2">
      <c r="D172" s="302"/>
      <c r="E172" s="68" t="s">
        <v>6</v>
      </c>
      <c r="F172" s="41" t="str">
        <f t="shared" si="138"/>
        <v>Etc 9</v>
      </c>
      <c r="G172" s="104"/>
      <c r="H172" s="104"/>
      <c r="I172" s="104"/>
      <c r="J172" s="104"/>
      <c r="K172" s="104">
        <f t="shared" ref="K172:Q172" si="147">$T$172</f>
        <v>0</v>
      </c>
      <c r="L172" s="104">
        <f t="shared" si="147"/>
        <v>0</v>
      </c>
      <c r="M172" s="104">
        <f t="shared" si="147"/>
        <v>0</v>
      </c>
      <c r="N172" s="104">
        <f t="shared" si="147"/>
        <v>0</v>
      </c>
      <c r="O172" s="104">
        <f t="shared" si="147"/>
        <v>0</v>
      </c>
      <c r="P172" s="104">
        <f t="shared" si="147"/>
        <v>0</v>
      </c>
      <c r="Q172" s="104">
        <f t="shared" si="147"/>
        <v>0</v>
      </c>
      <c r="R172" s="104">
        <f>$T$172</f>
        <v>0</v>
      </c>
      <c r="T172" s="69">
        <f>Variables!AM12</f>
        <v>0</v>
      </c>
      <c r="U172" s="43" t="str">
        <f>Variables!AL12</f>
        <v>Etc 9</v>
      </c>
      <c r="V172" s="131">
        <f>Variables!AN12</f>
        <v>0</v>
      </c>
      <c r="W172" s="253"/>
      <c r="X172" s="131"/>
    </row>
    <row r="173" spans="4:24" x14ac:dyDescent="0.2">
      <c r="D173" s="282" t="s">
        <v>248</v>
      </c>
      <c r="E173" s="68" t="s">
        <v>6</v>
      </c>
      <c r="F173" s="42" t="str">
        <f>U173</f>
        <v>Unplanned Deposit</v>
      </c>
      <c r="G173" s="105"/>
      <c r="H173" s="105"/>
      <c r="I173" s="105"/>
      <c r="J173" s="105"/>
      <c r="K173" s="105"/>
      <c r="L173" s="105"/>
      <c r="M173" s="105"/>
      <c r="N173" s="105"/>
      <c r="O173" s="105"/>
      <c r="P173" s="105"/>
      <c r="Q173" s="105"/>
      <c r="R173" s="105"/>
      <c r="S173" s="43"/>
      <c r="T173" s="43" t="s">
        <v>206</v>
      </c>
      <c r="U173" s="43" t="s">
        <v>54</v>
      </c>
      <c r="V173" s="131"/>
      <c r="W173" s="236" t="s">
        <v>248</v>
      </c>
      <c r="X173" s="131"/>
    </row>
    <row r="174" spans="4:24" x14ac:dyDescent="0.2">
      <c r="D174" s="283"/>
      <c r="E174" s="68" t="s">
        <v>6</v>
      </c>
      <c r="F174" s="42" t="str">
        <f t="shared" ref="F174:F182" si="148">U174</f>
        <v>Unplanned Deposit</v>
      </c>
      <c r="G174" s="105"/>
      <c r="H174" s="105"/>
      <c r="I174" s="105"/>
      <c r="J174" s="105"/>
      <c r="K174" s="105"/>
      <c r="L174" s="105"/>
      <c r="M174" s="105"/>
      <c r="N174" s="105"/>
      <c r="O174" s="105"/>
      <c r="P174" s="105"/>
      <c r="Q174" s="105"/>
      <c r="R174" s="105"/>
      <c r="S174" s="43"/>
      <c r="T174" s="43" t="s">
        <v>206</v>
      </c>
      <c r="U174" s="43" t="s">
        <v>54</v>
      </c>
      <c r="V174" s="131"/>
      <c r="W174" s="237"/>
      <c r="X174" s="131"/>
    </row>
    <row r="175" spans="4:24" x14ac:dyDescent="0.2">
      <c r="D175" s="283"/>
      <c r="E175" s="68" t="s">
        <v>6</v>
      </c>
      <c r="F175" s="42" t="str">
        <f t="shared" si="148"/>
        <v>Unplanned Deposit</v>
      </c>
      <c r="G175" s="105"/>
      <c r="H175" s="105"/>
      <c r="I175" s="105"/>
      <c r="J175" s="105"/>
      <c r="K175" s="105"/>
      <c r="L175" s="105"/>
      <c r="M175" s="105"/>
      <c r="N175" s="105"/>
      <c r="O175" s="105"/>
      <c r="P175" s="105"/>
      <c r="Q175" s="105"/>
      <c r="R175" s="105"/>
      <c r="S175" s="43"/>
      <c r="T175" s="43" t="s">
        <v>206</v>
      </c>
      <c r="U175" s="43" t="s">
        <v>54</v>
      </c>
      <c r="V175" s="131"/>
      <c r="W175" s="237"/>
      <c r="X175" s="131"/>
    </row>
    <row r="176" spans="4:24" x14ac:dyDescent="0.2">
      <c r="D176" s="283"/>
      <c r="E176" s="68" t="s">
        <v>6</v>
      </c>
      <c r="F176" s="42" t="str">
        <f t="shared" si="148"/>
        <v>Unplanned Deposit</v>
      </c>
      <c r="G176" s="105"/>
      <c r="H176" s="105"/>
      <c r="I176" s="105"/>
      <c r="J176" s="105"/>
      <c r="K176" s="105"/>
      <c r="L176" s="105"/>
      <c r="M176" s="105"/>
      <c r="N176" s="105"/>
      <c r="O176" s="105"/>
      <c r="P176" s="105"/>
      <c r="Q176" s="105"/>
      <c r="R176" s="105"/>
      <c r="S176" s="43"/>
      <c r="T176" s="43" t="s">
        <v>206</v>
      </c>
      <c r="U176" s="43" t="s">
        <v>54</v>
      </c>
      <c r="V176" s="131"/>
      <c r="W176" s="237"/>
      <c r="X176" s="131"/>
    </row>
    <row r="177" spans="4:24" x14ac:dyDescent="0.2">
      <c r="D177" s="283"/>
      <c r="E177" s="68" t="s">
        <v>6</v>
      </c>
      <c r="F177" s="42" t="str">
        <f t="shared" si="148"/>
        <v>Unplanned Deposit</v>
      </c>
      <c r="G177" s="105"/>
      <c r="H177" s="105"/>
      <c r="I177" s="105"/>
      <c r="J177" s="105"/>
      <c r="K177" s="105"/>
      <c r="L177" s="105"/>
      <c r="M177" s="105"/>
      <c r="N177" s="105"/>
      <c r="O177" s="105"/>
      <c r="P177" s="105"/>
      <c r="Q177" s="105"/>
      <c r="R177" s="105"/>
      <c r="S177" s="43"/>
      <c r="T177" s="43" t="s">
        <v>206</v>
      </c>
      <c r="U177" s="43" t="s">
        <v>54</v>
      </c>
      <c r="V177" s="131"/>
      <c r="W177" s="237"/>
      <c r="X177" s="131"/>
    </row>
    <row r="178" spans="4:24" x14ac:dyDescent="0.2">
      <c r="D178" s="283"/>
      <c r="E178" s="68" t="s">
        <v>6</v>
      </c>
      <c r="F178" s="42" t="str">
        <f t="shared" si="148"/>
        <v>Unplanned Deposit</v>
      </c>
      <c r="G178" s="105"/>
      <c r="H178" s="105"/>
      <c r="I178" s="105"/>
      <c r="J178" s="105"/>
      <c r="K178" s="105"/>
      <c r="L178" s="105"/>
      <c r="M178" s="105"/>
      <c r="N178" s="105"/>
      <c r="O178" s="105"/>
      <c r="P178" s="105"/>
      <c r="Q178" s="105"/>
      <c r="R178" s="105"/>
      <c r="S178" s="43"/>
      <c r="T178" s="43" t="s">
        <v>206</v>
      </c>
      <c r="U178" s="43" t="s">
        <v>54</v>
      </c>
      <c r="V178" s="131"/>
      <c r="W178" s="237"/>
      <c r="X178" s="131"/>
    </row>
    <row r="179" spans="4:24" x14ac:dyDescent="0.2">
      <c r="D179" s="283"/>
      <c r="E179" s="68" t="s">
        <v>6</v>
      </c>
      <c r="F179" s="42" t="str">
        <f t="shared" si="148"/>
        <v>Unplanned Deposit</v>
      </c>
      <c r="G179" s="105"/>
      <c r="H179" s="105"/>
      <c r="I179" s="105"/>
      <c r="J179" s="105"/>
      <c r="K179" s="105"/>
      <c r="L179" s="105"/>
      <c r="M179" s="105"/>
      <c r="N179" s="105"/>
      <c r="O179" s="105"/>
      <c r="P179" s="105"/>
      <c r="Q179" s="105"/>
      <c r="R179" s="105"/>
      <c r="T179" s="43" t="s">
        <v>206</v>
      </c>
      <c r="U179" s="43" t="s">
        <v>54</v>
      </c>
      <c r="V179" s="131"/>
      <c r="W179" s="237"/>
      <c r="X179" s="131"/>
    </row>
    <row r="180" spans="4:24" x14ac:dyDescent="0.2">
      <c r="D180" s="283"/>
      <c r="E180" s="68" t="s">
        <v>6</v>
      </c>
      <c r="F180" s="42" t="str">
        <f t="shared" si="148"/>
        <v>Unplanned Deposit</v>
      </c>
      <c r="G180" s="105"/>
      <c r="H180" s="105"/>
      <c r="I180" s="105"/>
      <c r="J180" s="105"/>
      <c r="K180" s="105"/>
      <c r="L180" s="105"/>
      <c r="M180" s="105"/>
      <c r="N180" s="105"/>
      <c r="O180" s="105"/>
      <c r="P180" s="105"/>
      <c r="Q180" s="105"/>
      <c r="R180" s="105"/>
      <c r="T180" s="43" t="s">
        <v>206</v>
      </c>
      <c r="U180" s="43" t="s">
        <v>54</v>
      </c>
      <c r="V180" s="131"/>
      <c r="W180" s="237"/>
      <c r="X180" s="131"/>
    </row>
    <row r="181" spans="4:24" x14ac:dyDescent="0.2">
      <c r="D181" s="283"/>
      <c r="E181" s="68" t="s">
        <v>6</v>
      </c>
      <c r="F181" s="42" t="str">
        <f t="shared" si="148"/>
        <v>Unplanned Deposit</v>
      </c>
      <c r="G181" s="105"/>
      <c r="H181" s="105"/>
      <c r="I181" s="105"/>
      <c r="J181" s="105"/>
      <c r="K181" s="105"/>
      <c r="L181" s="105"/>
      <c r="M181" s="105"/>
      <c r="N181" s="105"/>
      <c r="O181" s="105"/>
      <c r="P181" s="105"/>
      <c r="Q181" s="105"/>
      <c r="R181" s="105"/>
      <c r="T181" s="43" t="s">
        <v>206</v>
      </c>
      <c r="U181" s="43" t="s">
        <v>54</v>
      </c>
      <c r="V181" s="131"/>
      <c r="W181" s="237"/>
      <c r="X181" s="131"/>
    </row>
    <row r="182" spans="4:24" x14ac:dyDescent="0.2">
      <c r="D182" s="284"/>
      <c r="E182" s="68" t="s">
        <v>6</v>
      </c>
      <c r="F182" s="42" t="str">
        <f t="shared" si="148"/>
        <v>Unplanned Deposit</v>
      </c>
      <c r="G182" s="105"/>
      <c r="H182" s="105"/>
      <c r="I182" s="105"/>
      <c r="J182" s="105"/>
      <c r="K182" s="105"/>
      <c r="L182" s="105"/>
      <c r="M182" s="105"/>
      <c r="N182" s="105"/>
      <c r="O182" s="105"/>
      <c r="P182" s="105"/>
      <c r="Q182" s="105"/>
      <c r="R182" s="105"/>
      <c r="T182" s="43" t="s">
        <v>206</v>
      </c>
      <c r="U182" s="43" t="s">
        <v>54</v>
      </c>
      <c r="V182" s="131"/>
      <c r="W182" s="238"/>
      <c r="X182" s="131"/>
    </row>
    <row r="183" spans="4:24" x14ac:dyDescent="0.2">
      <c r="E183" s="43"/>
      <c r="F183" s="43" t="s">
        <v>27</v>
      </c>
      <c r="G183" s="44">
        <f>SUM(G3:G182)</f>
        <v>0</v>
      </c>
      <c r="H183" s="44">
        <f t="shared" ref="H183:R183" si="149">SUM(H3:H182)</f>
        <v>0</v>
      </c>
      <c r="I183" s="44">
        <f t="shared" si="149"/>
        <v>0</v>
      </c>
      <c r="J183" s="44">
        <f t="shared" si="149"/>
        <v>0</v>
      </c>
      <c r="K183" s="44">
        <f t="shared" si="149"/>
        <v>-3733.99</v>
      </c>
      <c r="L183" s="44">
        <f t="shared" si="149"/>
        <v>-3253.99</v>
      </c>
      <c r="M183" s="44">
        <f t="shared" si="149"/>
        <v>-3400.13</v>
      </c>
      <c r="N183" s="44">
        <f t="shared" si="149"/>
        <v>-3278.99</v>
      </c>
      <c r="O183" s="44">
        <f t="shared" si="149"/>
        <v>-3253.99</v>
      </c>
      <c r="P183" s="44">
        <f t="shared" si="149"/>
        <v>-3273.99</v>
      </c>
      <c r="Q183" s="44">
        <f t="shared" si="149"/>
        <v>-3253.99</v>
      </c>
      <c r="R183" s="44">
        <f t="shared" si="149"/>
        <v>-2963.94</v>
      </c>
      <c r="V183" s="43"/>
      <c r="X183" s="43"/>
    </row>
    <row r="184" spans="4:24" x14ac:dyDescent="0.2">
      <c r="E184" s="43"/>
      <c r="F184" s="43"/>
      <c r="G184" s="43"/>
      <c r="H184" s="43"/>
      <c r="I184" s="43"/>
      <c r="J184" s="43"/>
      <c r="K184" s="43"/>
      <c r="L184" s="43"/>
      <c r="M184" s="43"/>
      <c r="N184" s="43"/>
      <c r="O184" s="43"/>
      <c r="P184" s="43"/>
      <c r="Q184" s="43"/>
      <c r="R184" s="43"/>
      <c r="V184" s="43"/>
      <c r="X184" s="43"/>
    </row>
    <row r="185" spans="4:24" x14ac:dyDescent="0.2">
      <c r="E185" s="43"/>
      <c r="F185" s="43" t="s">
        <v>28</v>
      </c>
      <c r="G185" s="44">
        <f>CASH+B12</f>
        <v>10741</v>
      </c>
      <c r="H185" s="44">
        <f>CASH+B12+B13+B24</f>
        <v>10741</v>
      </c>
      <c r="I185" s="44">
        <f>CASH+B12+B13+B14+B24+B25</f>
        <v>10741</v>
      </c>
      <c r="J185" s="44">
        <f>CASH+B12+B13+B14+B15+B24+B25+B26</f>
        <v>10741</v>
      </c>
      <c r="K185" s="44">
        <f>CASH+B12+B13+B14+B15+B16+B24+B25+B26+B27</f>
        <v>7007.01</v>
      </c>
      <c r="L185" s="44">
        <f>CASH+B12+B13+B14+B15+B16+B17+B24+B25+B26+B27+B28</f>
        <v>7953.02</v>
      </c>
      <c r="M185" s="44">
        <f>CASH+B12+B13+B14+B15+B16+B17+B18+B24+B25+B26+B27+B28+B29</f>
        <v>8752.89</v>
      </c>
      <c r="N185" s="44">
        <f>CASH+B12+B13+B14+B15+B16+B17+B18+B19+B24+B25+B26+B27+B28+B29+B30</f>
        <v>11773.900000000001</v>
      </c>
      <c r="O185" s="44">
        <f>CASH+B12+B13+B14+B15+B16+B17+B18+B19+B20+B24+B25+B26+B27+B28+B29+B30+B31</f>
        <v>12719.91</v>
      </c>
      <c r="P185" s="44">
        <f>CASH+B12+B13+B14+B15+B16+B17+B18+B19+B20+B21+B24+B25+B26+B27+B28+B29+B30+B31+B32</f>
        <v>13645.920000000002</v>
      </c>
      <c r="Q185" s="44">
        <f>CASH+B12+B13+B14+B15+B16+B17+B18+B19+B20+B21+B22+B24+B25+B26+B27+B28+B29+B30+B31+B32+B33</f>
        <v>14591.930000000002</v>
      </c>
      <c r="R185" s="44">
        <f>CASH+B12+B13+B14+B15+B16+B17+B18+B19+B20+B21+B22+B23+B24+B25+B26+B27+B28+B29+B30+B31+B32+B33+B34</f>
        <v>15827.990000000002</v>
      </c>
      <c r="V185" s="43"/>
      <c r="X185" s="43"/>
    </row>
    <row r="186" spans="4:24" x14ac:dyDescent="0.2">
      <c r="E186" s="43"/>
      <c r="F186" s="43"/>
      <c r="G186" s="43"/>
      <c r="H186" s="43"/>
      <c r="I186" s="43"/>
      <c r="J186" s="43"/>
      <c r="K186" s="43"/>
      <c r="L186" s="43"/>
      <c r="M186" s="43"/>
      <c r="N186" s="43"/>
      <c r="O186" s="43"/>
      <c r="P186" s="43"/>
      <c r="Q186" s="43"/>
      <c r="R186" s="43"/>
      <c r="V186" s="43"/>
      <c r="X186" s="43"/>
    </row>
    <row r="187" spans="4:24" x14ac:dyDescent="0.2">
      <c r="E187" s="51" t="s">
        <v>4</v>
      </c>
      <c r="F187" s="43" t="s">
        <v>29</v>
      </c>
      <c r="G187" s="44">
        <f>ABS(SUM(G3:G12,G23:G32,G43:G52,G73:G82,G93:G102,G113:G122,G133:G142))</f>
        <v>0</v>
      </c>
      <c r="H187" s="44">
        <f>ABS(SUM(H3:H12,H23:H32,H43:H52,H73:H82,H93:H102,H113:H122,H133:H142))+G187</f>
        <v>0</v>
      </c>
      <c r="I187" s="44">
        <f t="shared" ref="I187:R187" si="150">ABS(SUM(I3:I12,I23:I32,I43:I52,I73:I82,I93:I102,I113:I122,I133:I142))+H187</f>
        <v>0</v>
      </c>
      <c r="J187" s="44">
        <f t="shared" si="150"/>
        <v>0</v>
      </c>
      <c r="K187" s="44">
        <f t="shared" si="150"/>
        <v>2418.9899999999998</v>
      </c>
      <c r="L187" s="44">
        <f t="shared" si="150"/>
        <v>4837.9799999999996</v>
      </c>
      <c r="M187" s="44">
        <f t="shared" si="150"/>
        <v>7383.11</v>
      </c>
      <c r="N187" s="44">
        <f t="shared" si="150"/>
        <v>9802.0999999999985</v>
      </c>
      <c r="O187" s="44">
        <f t="shared" si="150"/>
        <v>12221.089999999998</v>
      </c>
      <c r="P187" s="44">
        <f t="shared" si="150"/>
        <v>14640.079999999998</v>
      </c>
      <c r="Q187" s="44">
        <f t="shared" si="150"/>
        <v>17059.07</v>
      </c>
      <c r="R187" s="44">
        <f t="shared" si="150"/>
        <v>19508.009999999998</v>
      </c>
      <c r="S187" s="44"/>
      <c r="T187" s="44"/>
      <c r="U187" s="44"/>
      <c r="V187" s="43"/>
      <c r="X187" s="43"/>
    </row>
    <row r="188" spans="4:24" x14ac:dyDescent="0.2">
      <c r="E188" s="51" t="s">
        <v>4</v>
      </c>
      <c r="F188" s="43" t="s">
        <v>30</v>
      </c>
      <c r="G188" s="106">
        <f t="shared" ref="G188:R188" si="151">((ABS(G187))-$B$6)*-1</f>
        <v>2346</v>
      </c>
      <c r="H188" s="107">
        <f t="shared" si="151"/>
        <v>2346</v>
      </c>
      <c r="I188" s="107">
        <f t="shared" si="151"/>
        <v>2346</v>
      </c>
      <c r="J188" s="107">
        <f t="shared" si="151"/>
        <v>2346</v>
      </c>
      <c r="K188" s="107">
        <f t="shared" si="151"/>
        <v>-72.989999999999782</v>
      </c>
      <c r="L188" s="107">
        <f t="shared" si="151"/>
        <v>-2491.9799999999996</v>
      </c>
      <c r="M188" s="107">
        <f t="shared" si="151"/>
        <v>-5037.1099999999997</v>
      </c>
      <c r="N188" s="107">
        <f t="shared" si="151"/>
        <v>-7456.0999999999985</v>
      </c>
      <c r="O188" s="107">
        <f t="shared" si="151"/>
        <v>-9875.0899999999983</v>
      </c>
      <c r="P188" s="107">
        <f t="shared" si="151"/>
        <v>-12294.079999999998</v>
      </c>
      <c r="Q188" s="107">
        <f t="shared" si="151"/>
        <v>-14713.07</v>
      </c>
      <c r="R188" s="108">
        <f t="shared" si="151"/>
        <v>-17162.009999999998</v>
      </c>
      <c r="S188" s="43"/>
      <c r="T188" s="44"/>
      <c r="U188" s="43"/>
    </row>
    <row r="189" spans="4:24" x14ac:dyDescent="0.2">
      <c r="E189" s="43"/>
      <c r="F189" s="109"/>
      <c r="G189" s="110"/>
      <c r="H189" s="110"/>
      <c r="I189" s="110"/>
      <c r="J189" s="110"/>
      <c r="K189" s="110"/>
      <c r="L189" s="110"/>
      <c r="M189" s="110"/>
      <c r="N189" s="110"/>
      <c r="O189" s="110"/>
      <c r="P189" s="110"/>
      <c r="Q189" s="110"/>
      <c r="R189" s="110"/>
      <c r="S189" s="43"/>
      <c r="T189" s="43"/>
      <c r="U189" s="43"/>
    </row>
    <row r="190" spans="4:24" x14ac:dyDescent="0.2">
      <c r="E190" s="43"/>
      <c r="F190" s="43"/>
      <c r="G190" s="43"/>
      <c r="H190" s="43"/>
      <c r="I190" s="43"/>
      <c r="J190" s="43"/>
      <c r="K190" s="43"/>
      <c r="L190" s="43"/>
      <c r="M190" s="43"/>
      <c r="N190" s="43"/>
      <c r="O190" s="43"/>
      <c r="P190" s="43"/>
      <c r="Q190" s="43"/>
      <c r="R190" s="43"/>
      <c r="S190" s="43"/>
      <c r="T190" s="43"/>
      <c r="U190" s="43"/>
    </row>
    <row r="191" spans="4:24" x14ac:dyDescent="0.2">
      <c r="E191" s="43"/>
      <c r="F191" s="43"/>
      <c r="G191" s="43"/>
      <c r="H191" s="43"/>
      <c r="I191" s="43"/>
      <c r="J191" s="43"/>
      <c r="K191" s="43"/>
      <c r="L191" s="43"/>
      <c r="M191" s="43"/>
      <c r="N191" s="43"/>
      <c r="O191" s="43"/>
      <c r="P191" s="43"/>
      <c r="Q191" s="43"/>
      <c r="R191" s="43"/>
      <c r="S191" s="43"/>
      <c r="T191" s="43"/>
      <c r="U191" s="43"/>
    </row>
    <row r="192" spans="4:24" x14ac:dyDescent="0.2">
      <c r="E192" s="68" t="s">
        <v>6</v>
      </c>
      <c r="F192" s="43" t="s">
        <v>31</v>
      </c>
      <c r="G192" s="44">
        <f>ABS(SUM(G13:G22,G33:G42,G53:G62,G63:G72,G83:G92,G103:G112,G123:G132,G143:G152,G153:G162,G163:G172,G173:G182))</f>
        <v>0</v>
      </c>
      <c r="H192" s="44">
        <f>ABS(SUM(H13:H22,H33:H42,H53:H62,H63:H72,H83:H92,H103:H112,H123:H132,H143:H152,H153:H162,H163:H172,H173:H182))+G192</f>
        <v>0</v>
      </c>
      <c r="I192" s="44">
        <f t="shared" ref="I192:R192" si="152">ABS(SUM(I13:I22,I33:I42,I53:I62,I63:I72,I83:I92,I103:I112,I123:I132,I143:I152,I153:I162,I163:I172,I173:I182))+H192</f>
        <v>0</v>
      </c>
      <c r="J192" s="44">
        <f t="shared" si="152"/>
        <v>0</v>
      </c>
      <c r="K192" s="44">
        <f t="shared" si="152"/>
        <v>1315</v>
      </c>
      <c r="L192" s="44">
        <f t="shared" si="152"/>
        <v>2150</v>
      </c>
      <c r="M192" s="44">
        <f t="shared" si="152"/>
        <v>3005</v>
      </c>
      <c r="N192" s="44">
        <f t="shared" si="152"/>
        <v>3865</v>
      </c>
      <c r="O192" s="44">
        <f t="shared" si="152"/>
        <v>4700</v>
      </c>
      <c r="P192" s="44">
        <f t="shared" si="152"/>
        <v>5555</v>
      </c>
      <c r="Q192" s="44">
        <f t="shared" si="152"/>
        <v>6390</v>
      </c>
      <c r="R192" s="44">
        <f t="shared" si="152"/>
        <v>6905</v>
      </c>
      <c r="S192" s="43"/>
      <c r="T192" s="43"/>
      <c r="U192" s="43"/>
    </row>
    <row r="193" spans="5:21" x14ac:dyDescent="0.2">
      <c r="E193" s="68" t="s">
        <v>6</v>
      </c>
      <c r="F193" s="43" t="s">
        <v>30</v>
      </c>
      <c r="G193" s="111">
        <f t="shared" ref="G193:R193" si="153">((ABS(G192))-$B$7)*-1</f>
        <v>1495</v>
      </c>
      <c r="H193" s="112">
        <f t="shared" si="153"/>
        <v>1495</v>
      </c>
      <c r="I193" s="112">
        <f t="shared" si="153"/>
        <v>1495</v>
      </c>
      <c r="J193" s="112">
        <f t="shared" si="153"/>
        <v>1495</v>
      </c>
      <c r="K193" s="112">
        <f t="shared" si="153"/>
        <v>180</v>
      </c>
      <c r="L193" s="112">
        <f t="shared" si="153"/>
        <v>-655</v>
      </c>
      <c r="M193" s="112">
        <f t="shared" si="153"/>
        <v>-1510</v>
      </c>
      <c r="N193" s="112">
        <f t="shared" si="153"/>
        <v>-2370</v>
      </c>
      <c r="O193" s="112">
        <f t="shared" si="153"/>
        <v>-3205</v>
      </c>
      <c r="P193" s="112">
        <f t="shared" si="153"/>
        <v>-4060</v>
      </c>
      <c r="Q193" s="112">
        <f t="shared" si="153"/>
        <v>-4895</v>
      </c>
      <c r="R193" s="113">
        <f t="shared" si="153"/>
        <v>-5410</v>
      </c>
      <c r="S193" s="43"/>
      <c r="T193" s="43"/>
      <c r="U193" s="43"/>
    </row>
    <row r="194" spans="5:21" x14ac:dyDescent="0.2">
      <c r="S194" s="43"/>
      <c r="T194" s="43"/>
      <c r="U194" s="43"/>
    </row>
    <row r="195" spans="5:21" x14ac:dyDescent="0.2">
      <c r="S195" s="43"/>
      <c r="T195" s="43"/>
      <c r="U195" s="43"/>
    </row>
    <row r="196" spans="5:21" x14ac:dyDescent="0.2">
      <c r="S196" s="43"/>
      <c r="T196" s="43"/>
      <c r="U196" s="43"/>
    </row>
    <row r="197" spans="5:21" x14ac:dyDescent="0.2">
      <c r="S197" s="43"/>
      <c r="T197" s="43"/>
      <c r="U197" s="43"/>
    </row>
  </sheetData>
  <customSheetViews>
    <customSheetView guid="{3000A5D3-4225-4BEC-8C51-5821C1637985}" scale="80" filter="1" showAutoFilter="1">
      <selection activeCell="P156" sqref="P156"/>
      <pageMargins left="0" right="0" top="0" bottom="0" header="0" footer="0"/>
      <pageSetup orientation="portrait" horizontalDpi="1200" verticalDpi="1200" r:id="rId1"/>
      <headerFooter alignWithMargins="0"/>
      <autoFilter ref="S1:S197" xr:uid="{00000000-0000-0000-0000-000000000000}">
        <filterColumn colId="0">
          <filters blank="1">
            <filter val="$110.00"/>
            <filter val="($1,000.00)"/>
            <filter val="($101.00)"/>
            <filter val="($115.00)"/>
            <filter val="($120.00)"/>
            <filter val="($125.00)"/>
            <filter val="($126.14)"/>
            <filter val="($15.00)"/>
            <filter val="($150.00)"/>
            <filter val="($20.00)"/>
            <filter val="($200.00)"/>
            <filter val="($220.00)"/>
            <filter val="($25.00)"/>
            <filter val="($29.95)"/>
            <filter val="($30.00)"/>
            <filter val="($35.00)"/>
            <filter val="($40.00)"/>
            <filter val="($425.00)"/>
            <filter val="($50.00)"/>
            <filter val="($75.00)"/>
            <filter val="($80.00)"/>
            <filter val="($9.99)"/>
            <filter val="Enter in grid (-)"/>
            <filter val="Enter in grid (+)"/>
          </filters>
        </filterColumn>
      </autoFilter>
    </customSheetView>
    <customSheetView guid="{32C42143-63A9-4198-AA2B-A7F987080ABD}" scale="80" filter="1" showAutoFilter="1">
      <selection activeCell="E2" sqref="E2"/>
      <pageMargins left="0" right="0" top="0" bottom="0" header="0" footer="0"/>
      <pageSetup orientation="portrait" horizontalDpi="1200" verticalDpi="1200" r:id="rId2"/>
      <headerFooter alignWithMargins="0"/>
      <autoFilter ref="D1:S197" xr:uid="{00000000-0000-0000-0000-000000000000}">
        <filterColumn colId="0">
          <filters>
            <filter val="."/>
            <filter val="Autobill"/>
          </filters>
        </filterColumn>
        <filterColumn colId="15">
          <filters blank="1">
            <filter val="($1,000.00)"/>
            <filter val="($101.00)"/>
            <filter val="($115.00)"/>
            <filter val="($120.00)"/>
            <filter val="($126.14)"/>
            <filter val="($15.00)"/>
            <filter val="($20.00)"/>
            <filter val="($220.00)"/>
            <filter val="($29.95)"/>
            <filter val="($30.00)"/>
            <filter val="($35.00)"/>
            <filter val="($40.00)"/>
            <filter val="($425.00)"/>
            <filter val="($50.00)"/>
            <filter val="($75.00)"/>
            <filter val="($80.00)"/>
            <filter val="($9.99)"/>
          </filters>
        </filterColumn>
      </autoFilter>
    </customSheetView>
    <customSheetView guid="{7CE6BF17-265E-4957-8504-7250D1E621AC}" scale="80" filter="1" showAutoFilter="1">
      <selection activeCell="E2" sqref="E2"/>
      <pageMargins left="0" right="0" top="0" bottom="0" header="0" footer="0"/>
      <pageSetup orientation="portrait" horizontalDpi="1200" verticalDpi="1200" r:id="rId3"/>
      <headerFooter alignWithMargins="0"/>
      <autoFilter ref="D1:S197" xr:uid="{00000000-0000-0000-0000-000000000000}">
        <filterColumn colId="0">
          <filters>
            <filter val="."/>
            <filter val="Extra"/>
          </filters>
        </filterColumn>
        <filterColumn colId="15">
          <filters blank="1">
            <filter val="$110.00"/>
            <filter val="($125.00)"/>
            <filter val="($150.00)"/>
            <filter val="($20.00)"/>
            <filter val="($200.00)"/>
            <filter val="($25.00)"/>
            <filter val="Enter in grid (-)"/>
            <filter val="Enter in grid (+)"/>
          </filters>
        </filterColumn>
      </autoFilter>
    </customSheetView>
    <customSheetView guid="{465E278D-55C1-4FEC-A60E-3F6CF89A80ED}" scale="80">
      <selection activeCell="E2" sqref="E2"/>
      <pageMargins left="0" right="0" top="0" bottom="0" header="0" footer="0"/>
      <pageSetup orientation="portrait" horizontalDpi="1200" verticalDpi="1200" r:id="rId4"/>
      <headerFooter alignWithMargins="0"/>
    </customSheetView>
  </customSheetViews>
  <mergeCells count="23">
    <mergeCell ref="D173:D182"/>
    <mergeCell ref="D133:D152"/>
    <mergeCell ref="D73:D92"/>
    <mergeCell ref="D93:D112"/>
    <mergeCell ref="D113:D132"/>
    <mergeCell ref="D153:D162"/>
    <mergeCell ref="D163:D172"/>
    <mergeCell ref="F2:G2"/>
    <mergeCell ref="D3:D22"/>
    <mergeCell ref="D23:D42"/>
    <mergeCell ref="D43:D62"/>
    <mergeCell ref="D63:D72"/>
    <mergeCell ref="W3:W22"/>
    <mergeCell ref="W23:W42"/>
    <mergeCell ref="W43:W62"/>
    <mergeCell ref="W63:W72"/>
    <mergeCell ref="W73:W92"/>
    <mergeCell ref="W173:W182"/>
    <mergeCell ref="W93:W112"/>
    <mergeCell ref="W113:W132"/>
    <mergeCell ref="W133:W152"/>
    <mergeCell ref="W153:W162"/>
    <mergeCell ref="W163:W172"/>
  </mergeCells>
  <phoneticPr fontId="15" type="noConversion"/>
  <conditionalFormatting sqref="AA13:AA24">
    <cfRule type="top10" dxfId="17" priority="6" bottom="1" rank="3"/>
    <cfRule type="top10" dxfId="16" priority="7" rank="2"/>
  </conditionalFormatting>
  <conditionalFormatting sqref="AC13:AC24">
    <cfRule type="top10" dxfId="15" priority="2" bottom="1" rank="3"/>
    <cfRule type="top10" dxfId="14" priority="3" rank="2"/>
  </conditionalFormatting>
  <conditionalFormatting sqref="G187:R187">
    <cfRule type="cellIs" dxfId="13" priority="12" operator="greaterThan">
      <formula>ABS($B$6)</formula>
    </cfRule>
  </conditionalFormatting>
  <conditionalFormatting sqref="G192:R192">
    <cfRule type="cellIs" dxfId="12" priority="13" stopIfTrue="1" operator="greaterThan">
      <formula>$B$7</formula>
    </cfRule>
  </conditionalFormatting>
  <conditionalFormatting sqref="V3:V182">
    <cfRule type="cellIs" dxfId="11" priority="1" operator="equal">
      <formula>0</formula>
    </cfRule>
  </conditionalFormatting>
  <dataValidations disablePrompts="1" count="2">
    <dataValidation type="list" allowBlank="1" showInputMessage="1" showErrorMessage="1" sqref="B37" xr:uid="{0FC6C1B2-1843-4643-9609-D814D4AB3A6A}">
      <formula1>"Yes,No"</formula1>
    </dataValidation>
    <dataValidation type="list" allowBlank="1" showInputMessage="1" showErrorMessage="1" sqref="F2:G2" xr:uid="{EFAC02D7-28EB-4E5A-8317-804CDB70D3D8}">
      <formula1>"Show All Rows,Hide Unused Expenses"</formula1>
    </dataValidation>
  </dataValidations>
  <pageMargins left="0" right="0" top="0" bottom="0" header="0" footer="0"/>
  <pageSetup orientation="portrait" horizontalDpi="1200" verticalDpi="1200" r:id="rId5"/>
  <headerFooter alignWithMargins="0"/>
  <ignoredErrors>
    <ignoredError sqref="F3:F6" unlockedFormula="1"/>
  </ignoredErrors>
  <drawing r:id="rId6"/>
  <legacyDrawing r:id="rId7"/>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631C0E-9AE3-4CB2-8E09-464162036664}">
  <sheetPr>
    <tabColor rgb="FF00B0F0"/>
  </sheetPr>
  <dimension ref="A1:J497"/>
  <sheetViews>
    <sheetView showGridLines="0" workbookViewId="0">
      <pane ySplit="17" topLeftCell="A18" activePane="bottomLeft" state="frozenSplit"/>
      <selection pane="bottomLeft" activeCell="D5" sqref="D5"/>
    </sheetView>
  </sheetViews>
  <sheetFormatPr defaultRowHeight="12.75" x14ac:dyDescent="0.2"/>
  <cols>
    <col min="1" max="1" width="6.28515625" style="147" customWidth="1"/>
    <col min="2" max="2" width="15.7109375" style="146" customWidth="1"/>
    <col min="3" max="3" width="21.7109375" style="146" customWidth="1"/>
    <col min="4" max="8" width="14.7109375" style="146" customWidth="1"/>
    <col min="9" max="10" width="21.7109375" style="146" customWidth="1"/>
    <col min="11" max="16384" width="9.140625" style="145"/>
  </cols>
  <sheetData>
    <row r="1" spans="1:10" ht="24" customHeight="1" x14ac:dyDescent="0.3">
      <c r="A1" s="177" t="s">
        <v>282</v>
      </c>
      <c r="B1" s="145"/>
      <c r="C1" s="145"/>
      <c r="D1" s="145"/>
      <c r="E1" s="166"/>
      <c r="F1" s="166"/>
      <c r="G1" s="166"/>
      <c r="H1" s="166"/>
      <c r="I1" s="166"/>
      <c r="J1" s="166"/>
    </row>
    <row r="2" spans="1:10" ht="3" customHeight="1" x14ac:dyDescent="0.2">
      <c r="A2" s="162"/>
      <c r="B2" s="161"/>
      <c r="C2" s="161"/>
      <c r="D2" s="161"/>
      <c r="E2" s="161"/>
      <c r="F2" s="161"/>
      <c r="G2" s="161"/>
      <c r="H2" s="161"/>
      <c r="I2" s="161"/>
      <c r="J2" s="161"/>
    </row>
    <row r="3" spans="1:10" ht="20.25" customHeight="1" x14ac:dyDescent="0.2">
      <c r="A3" s="166"/>
      <c r="B3" s="163"/>
      <c r="C3" s="163"/>
      <c r="D3" s="163"/>
      <c r="E3" s="163"/>
      <c r="F3" s="163"/>
      <c r="G3" s="163"/>
      <c r="H3" s="163"/>
      <c r="I3" s="163"/>
      <c r="J3" s="163"/>
    </row>
    <row r="4" spans="1:10" ht="14.25" customHeight="1" x14ac:dyDescent="0.2">
      <c r="A4" s="166"/>
      <c r="B4" s="305" t="s">
        <v>281</v>
      </c>
      <c r="C4" s="306"/>
      <c r="D4" s="307"/>
      <c r="E4" s="166"/>
      <c r="F4" s="145"/>
      <c r="G4" s="145"/>
      <c r="H4" s="305" t="s">
        <v>280</v>
      </c>
      <c r="I4" s="306"/>
      <c r="J4" s="307"/>
    </row>
    <row r="5" spans="1:10" x14ac:dyDescent="0.2">
      <c r="A5" s="166"/>
      <c r="B5" s="173"/>
      <c r="C5" s="172" t="s">
        <v>279</v>
      </c>
      <c r="D5" s="167"/>
      <c r="E5" s="166"/>
      <c r="F5" s="145"/>
      <c r="G5" s="145"/>
      <c r="H5" s="173"/>
      <c r="I5" s="172" t="s">
        <v>278</v>
      </c>
      <c r="J5" s="170" t="str">
        <f>IF(Values_Entered,-PMT(Interest_Rate/Num_Pmt_Per_Year,Loan_Years*Num_Pmt_Per_Year,Loan_Amount),"")</f>
        <v/>
      </c>
    </row>
    <row r="6" spans="1:10" x14ac:dyDescent="0.2">
      <c r="A6" s="166"/>
      <c r="B6" s="173"/>
      <c r="C6" s="172" t="s">
        <v>277</v>
      </c>
      <c r="D6" s="176"/>
      <c r="E6" s="166"/>
      <c r="F6" s="145"/>
      <c r="G6" s="145"/>
      <c r="H6" s="173"/>
      <c r="I6" s="172" t="s">
        <v>276</v>
      </c>
      <c r="J6" s="175" t="str">
        <f>IF(Values_Entered,Loan_Years*Num_Pmt_Per_Year,"")</f>
        <v/>
      </c>
    </row>
    <row r="7" spans="1:10" x14ac:dyDescent="0.2">
      <c r="A7" s="166"/>
      <c r="B7" s="173"/>
      <c r="C7" s="172" t="s">
        <v>275</v>
      </c>
      <c r="D7" s="174"/>
      <c r="E7" s="166"/>
      <c r="F7" s="145"/>
      <c r="G7" s="145"/>
      <c r="H7" s="173"/>
      <c r="I7" s="172" t="s">
        <v>274</v>
      </c>
      <c r="J7" s="175" t="str">
        <f>IF(Values_Entered,Number_of_Payments,"")</f>
        <v/>
      </c>
    </row>
    <row r="8" spans="1:10" x14ac:dyDescent="0.2">
      <c r="A8" s="166"/>
      <c r="B8" s="173"/>
      <c r="C8" s="172" t="s">
        <v>273</v>
      </c>
      <c r="D8" s="174"/>
      <c r="E8" s="166"/>
      <c r="F8" s="145"/>
      <c r="G8" s="145"/>
      <c r="H8" s="173"/>
      <c r="I8" s="172" t="s">
        <v>272</v>
      </c>
      <c r="J8" s="170" t="str">
        <f>IF(Values_Entered,SUMIF(Beg_Bal,"&gt;0",Extra_Pay),"")</f>
        <v/>
      </c>
    </row>
    <row r="9" spans="1:10" x14ac:dyDescent="0.2">
      <c r="A9" s="166"/>
      <c r="B9" s="173"/>
      <c r="C9" s="172" t="s">
        <v>271</v>
      </c>
      <c r="D9" s="171"/>
      <c r="E9" s="166"/>
      <c r="F9" s="145"/>
      <c r="G9" s="145"/>
      <c r="H9" s="169"/>
      <c r="I9" s="168" t="s">
        <v>270</v>
      </c>
      <c r="J9" s="170" t="str">
        <f>IF(Values_Entered,SUMIF(Beg_Bal,"&gt;0",Int),"")</f>
        <v/>
      </c>
    </row>
    <row r="10" spans="1:10" x14ac:dyDescent="0.2">
      <c r="A10" s="166"/>
      <c r="B10" s="169"/>
      <c r="C10" s="168" t="s">
        <v>269</v>
      </c>
      <c r="D10" s="167"/>
      <c r="E10" s="166"/>
      <c r="F10" s="163"/>
      <c r="G10" s="163"/>
      <c r="H10" s="163"/>
      <c r="I10" s="163"/>
      <c r="J10" s="166"/>
    </row>
    <row r="11" spans="1:10" x14ac:dyDescent="0.2">
      <c r="A11" s="166"/>
      <c r="B11" s="163"/>
      <c r="C11" s="163"/>
      <c r="D11" s="163"/>
      <c r="E11" s="163"/>
      <c r="F11" s="163"/>
      <c r="G11" s="163"/>
      <c r="H11" s="163"/>
      <c r="I11" s="163"/>
      <c r="J11" s="163"/>
    </row>
    <row r="12" spans="1:10" x14ac:dyDescent="0.2">
      <c r="A12" s="166"/>
      <c r="B12" s="165" t="s">
        <v>268</v>
      </c>
      <c r="C12" s="303"/>
      <c r="D12" s="304"/>
      <c r="E12" s="163"/>
      <c r="F12" s="163"/>
      <c r="G12" s="163"/>
      <c r="H12" s="163"/>
      <c r="I12" s="163"/>
      <c r="J12" s="163"/>
    </row>
    <row r="13" spans="1:10" x14ac:dyDescent="0.2">
      <c r="A13" s="166"/>
      <c r="B13" s="165"/>
      <c r="C13" s="164"/>
      <c r="D13" s="164"/>
      <c r="E13" s="163"/>
      <c r="F13" s="163"/>
      <c r="G13" s="163"/>
      <c r="H13" s="163"/>
      <c r="I13" s="163"/>
      <c r="J13" s="163"/>
    </row>
    <row r="14" spans="1:10" ht="6" customHeight="1" x14ac:dyDescent="0.2">
      <c r="A14" s="162"/>
      <c r="B14" s="161"/>
      <c r="C14" s="161"/>
      <c r="D14" s="161"/>
      <c r="E14" s="161"/>
      <c r="F14" s="161"/>
      <c r="G14" s="161"/>
      <c r="H14" s="161"/>
      <c r="I14" s="161"/>
      <c r="J14" s="161"/>
    </row>
    <row r="15" spans="1:10" ht="3.75" customHeight="1" x14ac:dyDescent="0.25">
      <c r="A15" s="160"/>
      <c r="B15" s="159"/>
      <c r="C15" s="159"/>
      <c r="D15" s="159"/>
      <c r="E15" s="159"/>
      <c r="F15" s="159"/>
      <c r="G15" s="159"/>
      <c r="H15" s="159"/>
      <c r="I15" s="159"/>
      <c r="J15" s="159"/>
    </row>
    <row r="16" spans="1:10" s="152" customFormat="1" ht="25.5" x14ac:dyDescent="0.2">
      <c r="A16" s="158" t="s">
        <v>267</v>
      </c>
      <c r="B16" s="157" t="s">
        <v>266</v>
      </c>
      <c r="C16" s="157" t="s">
        <v>265</v>
      </c>
      <c r="D16" s="157" t="s">
        <v>264</v>
      </c>
      <c r="E16" s="157" t="s">
        <v>263</v>
      </c>
      <c r="F16" s="157" t="s">
        <v>262</v>
      </c>
      <c r="G16" s="157" t="s">
        <v>261</v>
      </c>
      <c r="H16" s="157" t="s">
        <v>260</v>
      </c>
      <c r="I16" s="157" t="s">
        <v>259</v>
      </c>
      <c r="J16" s="156" t="s">
        <v>258</v>
      </c>
    </row>
    <row r="17" spans="1:10" s="152" customFormat="1" ht="6" customHeight="1" x14ac:dyDescent="0.25">
      <c r="A17" s="155"/>
      <c r="B17" s="154"/>
      <c r="C17" s="154"/>
      <c r="D17" s="154"/>
      <c r="E17" s="154"/>
      <c r="F17" s="154"/>
      <c r="G17" s="154"/>
      <c r="H17" s="154"/>
      <c r="I17" s="154"/>
      <c r="J17" s="153"/>
    </row>
    <row r="18" spans="1:10" s="152" customFormat="1" x14ac:dyDescent="0.2">
      <c r="A18" s="151" t="str">
        <f>IF(Values_Entered,1,"")</f>
        <v/>
      </c>
      <c r="B18" s="150" t="str">
        <f t="shared" ref="B18:B81" si="0">IF(Pay_Num&lt;&gt;"",DATE(YEAR(Loan_Start),MONTH(Loan_Start)+(Pay_Num)*12/Num_Pmt_Per_Year,DAY(Loan_Start)),"")</f>
        <v/>
      </c>
      <c r="C18" s="148" t="str">
        <f>IF(Values_Entered,Loan_Amount,"")</f>
        <v/>
      </c>
      <c r="D18" s="148" t="str">
        <f t="shared" ref="D18:D81" si="1">IF(Pay_Num&lt;&gt;"",Scheduled_Monthly_Payment,"")</f>
        <v/>
      </c>
      <c r="E18" s="149" t="e">
        <f t="shared" ref="E18:E81" si="2">IF(AND(Pay_Num&lt;&gt;"",Sched_Pay+Scheduled_Extra_Payments&lt;Beg_Bal),Scheduled_Extra_Payments,IF(AND(Pay_Num&lt;&gt;"",Beg_Bal-Sched_Pay&gt;0),Beg_Bal-Sched_Pay,IF(Pay_Num&lt;&gt;"",0,"")))</f>
        <v>#VALUE!</v>
      </c>
      <c r="F18" s="148" t="e">
        <f t="shared" ref="F18:F81" si="3">IF(AND(Pay_Num&lt;&gt;"",Sched_Pay+Extra_Pay&lt;Beg_Bal),Sched_Pay+Extra_Pay,IF(Pay_Num&lt;&gt;"",Beg_Bal,""))</f>
        <v>#VALUE!</v>
      </c>
      <c r="G18" s="148" t="str">
        <f t="shared" ref="G18:G81" si="4">IF(Pay_Num&lt;&gt;"",Total_Pay-Int,"")</f>
        <v/>
      </c>
      <c r="H18" s="148" t="str">
        <f>IF(Pay_Num&lt;&gt;"",Beg_Bal*(Interest_Rate/Num_Pmt_Per_Year),"")</f>
        <v/>
      </c>
      <c r="I18" s="148" t="e">
        <f t="shared" ref="I18:I81" si="5">IF(AND(Pay_Num&lt;&gt;"",Sched_Pay+Extra_Pay&lt;Beg_Bal),Beg_Bal-Princ,IF(Pay_Num&lt;&gt;"",0,""))</f>
        <v>#VALUE!</v>
      </c>
      <c r="J18" s="148">
        <f>SUM($H$18:$H18)</f>
        <v>0</v>
      </c>
    </row>
    <row r="19" spans="1:10" s="152" customFormat="1" ht="12.75" customHeight="1" x14ac:dyDescent="0.2">
      <c r="A19" s="151" t="str">
        <f>IF(Values_Entered,A18+1,"")</f>
        <v/>
      </c>
      <c r="B19" s="150" t="str">
        <f t="shared" si="0"/>
        <v/>
      </c>
      <c r="C19" s="148" t="str">
        <f t="shared" ref="C19:C82" si="6">IF(Pay_Num&lt;&gt;"",I18,"")</f>
        <v/>
      </c>
      <c r="D19" s="148" t="str">
        <f t="shared" si="1"/>
        <v/>
      </c>
      <c r="E19" s="149" t="e">
        <f t="shared" si="2"/>
        <v>#VALUE!</v>
      </c>
      <c r="F19" s="148" t="e">
        <f t="shared" si="3"/>
        <v>#VALUE!</v>
      </c>
      <c r="G19" s="148" t="str">
        <f t="shared" si="4"/>
        <v/>
      </c>
      <c r="H19" s="148" t="str">
        <f t="shared" ref="H19:H82" si="7">IF(Pay_Num&lt;&gt;"",Beg_Bal*Interest_Rate/Num_Pmt_Per_Year,"")</f>
        <v/>
      </c>
      <c r="I19" s="148" t="e">
        <f t="shared" si="5"/>
        <v>#VALUE!</v>
      </c>
      <c r="J19" s="148">
        <f>SUM($H$18:$H19)</f>
        <v>0</v>
      </c>
    </row>
    <row r="20" spans="1:10" s="152" customFormat="1" ht="12.75" customHeight="1" x14ac:dyDescent="0.2">
      <c r="A20" s="151" t="str">
        <f>IF(Values_Entered,A19+1,"")</f>
        <v/>
      </c>
      <c r="B20" s="150" t="str">
        <f t="shared" si="0"/>
        <v/>
      </c>
      <c r="C20" s="148" t="str">
        <f t="shared" si="6"/>
        <v/>
      </c>
      <c r="D20" s="148" t="str">
        <f t="shared" si="1"/>
        <v/>
      </c>
      <c r="E20" s="149" t="e">
        <f t="shared" si="2"/>
        <v>#VALUE!</v>
      </c>
      <c r="F20" s="148" t="e">
        <f t="shared" si="3"/>
        <v>#VALUE!</v>
      </c>
      <c r="G20" s="148" t="str">
        <f t="shared" si="4"/>
        <v/>
      </c>
      <c r="H20" s="148" t="str">
        <f t="shared" si="7"/>
        <v/>
      </c>
      <c r="I20" s="148" t="e">
        <f t="shared" si="5"/>
        <v>#VALUE!</v>
      </c>
      <c r="J20" s="148">
        <f>SUM($H$18:$H20)</f>
        <v>0</v>
      </c>
    </row>
    <row r="21" spans="1:10" s="152" customFormat="1" x14ac:dyDescent="0.2">
      <c r="A21" s="151" t="str">
        <f>IF(Values_Entered,A20+1,"")</f>
        <v/>
      </c>
      <c r="B21" s="150" t="str">
        <f t="shared" si="0"/>
        <v/>
      </c>
      <c r="C21" s="148" t="str">
        <f t="shared" si="6"/>
        <v/>
      </c>
      <c r="D21" s="148" t="str">
        <f t="shared" si="1"/>
        <v/>
      </c>
      <c r="E21" s="149" t="e">
        <f t="shared" si="2"/>
        <v>#VALUE!</v>
      </c>
      <c r="F21" s="148" t="e">
        <f t="shared" si="3"/>
        <v>#VALUE!</v>
      </c>
      <c r="G21" s="148" t="str">
        <f t="shared" si="4"/>
        <v/>
      </c>
      <c r="H21" s="148" t="str">
        <f t="shared" si="7"/>
        <v/>
      </c>
      <c r="I21" s="148" t="e">
        <f t="shared" si="5"/>
        <v>#VALUE!</v>
      </c>
      <c r="J21" s="148">
        <f>SUM($H$18:$H21)</f>
        <v>0</v>
      </c>
    </row>
    <row r="22" spans="1:10" s="152" customFormat="1" x14ac:dyDescent="0.2">
      <c r="A22" s="151" t="str">
        <f>IF(Values_Entered,A21+1,"")</f>
        <v/>
      </c>
      <c r="B22" s="150" t="str">
        <f t="shared" si="0"/>
        <v/>
      </c>
      <c r="C22" s="148" t="str">
        <f t="shared" si="6"/>
        <v/>
      </c>
      <c r="D22" s="148" t="str">
        <f t="shared" si="1"/>
        <v/>
      </c>
      <c r="E22" s="149" t="e">
        <f t="shared" si="2"/>
        <v>#VALUE!</v>
      </c>
      <c r="F22" s="148" t="e">
        <f t="shared" si="3"/>
        <v>#VALUE!</v>
      </c>
      <c r="G22" s="148" t="str">
        <f t="shared" si="4"/>
        <v/>
      </c>
      <c r="H22" s="148" t="str">
        <f t="shared" si="7"/>
        <v/>
      </c>
      <c r="I22" s="148" t="e">
        <f t="shared" si="5"/>
        <v>#VALUE!</v>
      </c>
      <c r="J22" s="148">
        <f>SUM($H$18:$H22)</f>
        <v>0</v>
      </c>
    </row>
    <row r="23" spans="1:10" x14ac:dyDescent="0.2">
      <c r="A23" s="151" t="str">
        <f>IF(Values_Entered,A22+1,"")</f>
        <v/>
      </c>
      <c r="B23" s="150" t="str">
        <f t="shared" si="0"/>
        <v/>
      </c>
      <c r="C23" s="148" t="str">
        <f t="shared" si="6"/>
        <v/>
      </c>
      <c r="D23" s="148" t="str">
        <f t="shared" si="1"/>
        <v/>
      </c>
      <c r="E23" s="149" t="e">
        <f t="shared" si="2"/>
        <v>#VALUE!</v>
      </c>
      <c r="F23" s="148" t="e">
        <f t="shared" si="3"/>
        <v>#VALUE!</v>
      </c>
      <c r="G23" s="148" t="str">
        <f t="shared" si="4"/>
        <v/>
      </c>
      <c r="H23" s="148" t="str">
        <f t="shared" si="7"/>
        <v/>
      </c>
      <c r="I23" s="148" t="e">
        <f t="shared" si="5"/>
        <v>#VALUE!</v>
      </c>
      <c r="J23" s="148">
        <f>SUM($H$18:$H23)</f>
        <v>0</v>
      </c>
    </row>
    <row r="24" spans="1:10" x14ac:dyDescent="0.2">
      <c r="A24" s="151" t="str">
        <f>IF(Values_Entered,A23+1,"")</f>
        <v/>
      </c>
      <c r="B24" s="150" t="str">
        <f t="shared" si="0"/>
        <v/>
      </c>
      <c r="C24" s="148" t="str">
        <f t="shared" si="6"/>
        <v/>
      </c>
      <c r="D24" s="148" t="str">
        <f t="shared" si="1"/>
        <v/>
      </c>
      <c r="E24" s="149" t="e">
        <f t="shared" si="2"/>
        <v>#VALUE!</v>
      </c>
      <c r="F24" s="148" t="e">
        <f t="shared" si="3"/>
        <v>#VALUE!</v>
      </c>
      <c r="G24" s="148" t="str">
        <f t="shared" si="4"/>
        <v/>
      </c>
      <c r="H24" s="148" t="str">
        <f t="shared" si="7"/>
        <v/>
      </c>
      <c r="I24" s="148" t="e">
        <f t="shared" si="5"/>
        <v>#VALUE!</v>
      </c>
      <c r="J24" s="148">
        <f>SUM($H$18:$H24)</f>
        <v>0</v>
      </c>
    </row>
    <row r="25" spans="1:10" x14ac:dyDescent="0.2">
      <c r="A25" s="151" t="str">
        <f>IF(Values_Entered,A24+1,"")</f>
        <v/>
      </c>
      <c r="B25" s="150" t="str">
        <f t="shared" si="0"/>
        <v/>
      </c>
      <c r="C25" s="148" t="str">
        <f t="shared" si="6"/>
        <v/>
      </c>
      <c r="D25" s="148" t="str">
        <f t="shared" si="1"/>
        <v/>
      </c>
      <c r="E25" s="149" t="e">
        <f t="shared" si="2"/>
        <v>#VALUE!</v>
      </c>
      <c r="F25" s="148" t="e">
        <f t="shared" si="3"/>
        <v>#VALUE!</v>
      </c>
      <c r="G25" s="148" t="str">
        <f t="shared" si="4"/>
        <v/>
      </c>
      <c r="H25" s="148" t="str">
        <f t="shared" si="7"/>
        <v/>
      </c>
      <c r="I25" s="148" t="e">
        <f t="shared" si="5"/>
        <v>#VALUE!</v>
      </c>
      <c r="J25" s="148">
        <f>SUM($H$18:$H25)</f>
        <v>0</v>
      </c>
    </row>
    <row r="26" spans="1:10" x14ac:dyDescent="0.2">
      <c r="A26" s="151" t="str">
        <f>IF(Values_Entered,A25+1,"")</f>
        <v/>
      </c>
      <c r="B26" s="150" t="str">
        <f t="shared" si="0"/>
        <v/>
      </c>
      <c r="C26" s="148" t="str">
        <f t="shared" si="6"/>
        <v/>
      </c>
      <c r="D26" s="148" t="str">
        <f t="shared" si="1"/>
        <v/>
      </c>
      <c r="E26" s="149" t="e">
        <f t="shared" si="2"/>
        <v>#VALUE!</v>
      </c>
      <c r="F26" s="148" t="e">
        <f t="shared" si="3"/>
        <v>#VALUE!</v>
      </c>
      <c r="G26" s="148" t="str">
        <f t="shared" si="4"/>
        <v/>
      </c>
      <c r="H26" s="148" t="str">
        <f t="shared" si="7"/>
        <v/>
      </c>
      <c r="I26" s="148" t="e">
        <f t="shared" si="5"/>
        <v>#VALUE!</v>
      </c>
      <c r="J26" s="148">
        <f>SUM($H$18:$H26)</f>
        <v>0</v>
      </c>
    </row>
    <row r="27" spans="1:10" x14ac:dyDescent="0.2">
      <c r="A27" s="151" t="str">
        <f>IF(Values_Entered,A26+1,"")</f>
        <v/>
      </c>
      <c r="B27" s="150" t="str">
        <f t="shared" si="0"/>
        <v/>
      </c>
      <c r="C27" s="148" t="str">
        <f t="shared" si="6"/>
        <v/>
      </c>
      <c r="D27" s="148" t="str">
        <f t="shared" si="1"/>
        <v/>
      </c>
      <c r="E27" s="149" t="e">
        <f t="shared" si="2"/>
        <v>#VALUE!</v>
      </c>
      <c r="F27" s="148" t="e">
        <f t="shared" si="3"/>
        <v>#VALUE!</v>
      </c>
      <c r="G27" s="148" t="str">
        <f t="shared" si="4"/>
        <v/>
      </c>
      <c r="H27" s="148" t="str">
        <f t="shared" si="7"/>
        <v/>
      </c>
      <c r="I27" s="148" t="e">
        <f t="shared" si="5"/>
        <v>#VALUE!</v>
      </c>
      <c r="J27" s="148">
        <f>SUM($H$18:$H27)</f>
        <v>0</v>
      </c>
    </row>
    <row r="28" spans="1:10" x14ac:dyDescent="0.2">
      <c r="A28" s="151" t="str">
        <f>IF(Values_Entered,A27+1,"")</f>
        <v/>
      </c>
      <c r="B28" s="150" t="str">
        <f t="shared" si="0"/>
        <v/>
      </c>
      <c r="C28" s="148" t="str">
        <f t="shared" si="6"/>
        <v/>
      </c>
      <c r="D28" s="148" t="str">
        <f t="shared" si="1"/>
        <v/>
      </c>
      <c r="E28" s="149" t="e">
        <f t="shared" si="2"/>
        <v>#VALUE!</v>
      </c>
      <c r="F28" s="148" t="e">
        <f t="shared" si="3"/>
        <v>#VALUE!</v>
      </c>
      <c r="G28" s="148" t="str">
        <f t="shared" si="4"/>
        <v/>
      </c>
      <c r="H28" s="148" t="str">
        <f t="shared" si="7"/>
        <v/>
      </c>
      <c r="I28" s="148" t="e">
        <f t="shared" si="5"/>
        <v>#VALUE!</v>
      </c>
      <c r="J28" s="148">
        <f>SUM($H$18:$H28)</f>
        <v>0</v>
      </c>
    </row>
    <row r="29" spans="1:10" x14ac:dyDescent="0.2">
      <c r="A29" s="151" t="str">
        <f>IF(Values_Entered,A28+1,"")</f>
        <v/>
      </c>
      <c r="B29" s="150" t="str">
        <f t="shared" si="0"/>
        <v/>
      </c>
      <c r="C29" s="148" t="str">
        <f t="shared" si="6"/>
        <v/>
      </c>
      <c r="D29" s="148" t="str">
        <f t="shared" si="1"/>
        <v/>
      </c>
      <c r="E29" s="149" t="e">
        <f t="shared" si="2"/>
        <v>#VALUE!</v>
      </c>
      <c r="F29" s="148" t="e">
        <f t="shared" si="3"/>
        <v>#VALUE!</v>
      </c>
      <c r="G29" s="148" t="str">
        <f t="shared" si="4"/>
        <v/>
      </c>
      <c r="H29" s="148" t="str">
        <f t="shared" si="7"/>
        <v/>
      </c>
      <c r="I29" s="148" t="e">
        <f t="shared" si="5"/>
        <v>#VALUE!</v>
      </c>
      <c r="J29" s="148">
        <f>SUM($H$18:$H29)</f>
        <v>0</v>
      </c>
    </row>
    <row r="30" spans="1:10" x14ac:dyDescent="0.2">
      <c r="A30" s="151" t="str">
        <f>IF(Values_Entered,A29+1,"")</f>
        <v/>
      </c>
      <c r="B30" s="150" t="str">
        <f t="shared" si="0"/>
        <v/>
      </c>
      <c r="C30" s="148" t="str">
        <f t="shared" si="6"/>
        <v/>
      </c>
      <c r="D30" s="148" t="str">
        <f t="shared" si="1"/>
        <v/>
      </c>
      <c r="E30" s="149" t="e">
        <f t="shared" si="2"/>
        <v>#VALUE!</v>
      </c>
      <c r="F30" s="148" t="e">
        <f t="shared" si="3"/>
        <v>#VALUE!</v>
      </c>
      <c r="G30" s="148" t="str">
        <f t="shared" si="4"/>
        <v/>
      </c>
      <c r="H30" s="148" t="str">
        <f t="shared" si="7"/>
        <v/>
      </c>
      <c r="I30" s="148" t="e">
        <f t="shared" si="5"/>
        <v>#VALUE!</v>
      </c>
      <c r="J30" s="148">
        <f>SUM($H$18:$H30)</f>
        <v>0</v>
      </c>
    </row>
    <row r="31" spans="1:10" x14ac:dyDescent="0.2">
      <c r="A31" s="151" t="str">
        <f>IF(Values_Entered,A30+1,"")</f>
        <v/>
      </c>
      <c r="B31" s="150" t="str">
        <f t="shared" si="0"/>
        <v/>
      </c>
      <c r="C31" s="148" t="str">
        <f t="shared" si="6"/>
        <v/>
      </c>
      <c r="D31" s="148" t="str">
        <f t="shared" si="1"/>
        <v/>
      </c>
      <c r="E31" s="149" t="e">
        <f t="shared" si="2"/>
        <v>#VALUE!</v>
      </c>
      <c r="F31" s="148" t="e">
        <f t="shared" si="3"/>
        <v>#VALUE!</v>
      </c>
      <c r="G31" s="148" t="str">
        <f t="shared" si="4"/>
        <v/>
      </c>
      <c r="H31" s="148" t="str">
        <f t="shared" si="7"/>
        <v/>
      </c>
      <c r="I31" s="148" t="e">
        <f t="shared" si="5"/>
        <v>#VALUE!</v>
      </c>
      <c r="J31" s="148">
        <f>SUM($H$18:$H31)</f>
        <v>0</v>
      </c>
    </row>
    <row r="32" spans="1:10" x14ac:dyDescent="0.2">
      <c r="A32" s="151" t="str">
        <f>IF(Values_Entered,A31+1,"")</f>
        <v/>
      </c>
      <c r="B32" s="150" t="str">
        <f t="shared" si="0"/>
        <v/>
      </c>
      <c r="C32" s="148" t="str">
        <f t="shared" si="6"/>
        <v/>
      </c>
      <c r="D32" s="148" t="str">
        <f t="shared" si="1"/>
        <v/>
      </c>
      <c r="E32" s="149" t="e">
        <f t="shared" si="2"/>
        <v>#VALUE!</v>
      </c>
      <c r="F32" s="148" t="e">
        <f t="shared" si="3"/>
        <v>#VALUE!</v>
      </c>
      <c r="G32" s="148" t="str">
        <f t="shared" si="4"/>
        <v/>
      </c>
      <c r="H32" s="148" t="str">
        <f t="shared" si="7"/>
        <v/>
      </c>
      <c r="I32" s="148" t="e">
        <f t="shared" si="5"/>
        <v>#VALUE!</v>
      </c>
      <c r="J32" s="148">
        <f>SUM($H$18:$H32)</f>
        <v>0</v>
      </c>
    </row>
    <row r="33" spans="1:10" x14ac:dyDescent="0.2">
      <c r="A33" s="151" t="str">
        <f>IF(Values_Entered,A32+1,"")</f>
        <v/>
      </c>
      <c r="B33" s="150" t="str">
        <f t="shared" si="0"/>
        <v/>
      </c>
      <c r="C33" s="148" t="str">
        <f t="shared" si="6"/>
        <v/>
      </c>
      <c r="D33" s="148" t="str">
        <f t="shared" si="1"/>
        <v/>
      </c>
      <c r="E33" s="149" t="e">
        <f t="shared" si="2"/>
        <v>#VALUE!</v>
      </c>
      <c r="F33" s="148" t="e">
        <f t="shared" si="3"/>
        <v>#VALUE!</v>
      </c>
      <c r="G33" s="148" t="str">
        <f t="shared" si="4"/>
        <v/>
      </c>
      <c r="H33" s="148" t="str">
        <f t="shared" si="7"/>
        <v/>
      </c>
      <c r="I33" s="148" t="e">
        <f t="shared" si="5"/>
        <v>#VALUE!</v>
      </c>
      <c r="J33" s="148">
        <f>SUM($H$18:$H33)</f>
        <v>0</v>
      </c>
    </row>
    <row r="34" spans="1:10" x14ac:dyDescent="0.2">
      <c r="A34" s="151" t="str">
        <f>IF(Values_Entered,A33+1,"")</f>
        <v/>
      </c>
      <c r="B34" s="150" t="str">
        <f t="shared" si="0"/>
        <v/>
      </c>
      <c r="C34" s="148" t="str">
        <f t="shared" si="6"/>
        <v/>
      </c>
      <c r="D34" s="148" t="str">
        <f t="shared" si="1"/>
        <v/>
      </c>
      <c r="E34" s="149" t="e">
        <f t="shared" si="2"/>
        <v>#VALUE!</v>
      </c>
      <c r="F34" s="148" t="e">
        <f t="shared" si="3"/>
        <v>#VALUE!</v>
      </c>
      <c r="G34" s="148" t="str">
        <f t="shared" si="4"/>
        <v/>
      </c>
      <c r="H34" s="148" t="str">
        <f t="shared" si="7"/>
        <v/>
      </c>
      <c r="I34" s="148" t="e">
        <f t="shared" si="5"/>
        <v>#VALUE!</v>
      </c>
      <c r="J34" s="148">
        <f>SUM($H$18:$H34)</f>
        <v>0</v>
      </c>
    </row>
    <row r="35" spans="1:10" x14ac:dyDescent="0.2">
      <c r="A35" s="151" t="str">
        <f>IF(Values_Entered,A34+1,"")</f>
        <v/>
      </c>
      <c r="B35" s="150" t="str">
        <f t="shared" si="0"/>
        <v/>
      </c>
      <c r="C35" s="148" t="str">
        <f t="shared" si="6"/>
        <v/>
      </c>
      <c r="D35" s="148" t="str">
        <f t="shared" si="1"/>
        <v/>
      </c>
      <c r="E35" s="149" t="e">
        <f t="shared" si="2"/>
        <v>#VALUE!</v>
      </c>
      <c r="F35" s="148" t="e">
        <f t="shared" si="3"/>
        <v>#VALUE!</v>
      </c>
      <c r="G35" s="148" t="str">
        <f t="shared" si="4"/>
        <v/>
      </c>
      <c r="H35" s="148" t="str">
        <f t="shared" si="7"/>
        <v/>
      </c>
      <c r="I35" s="148" t="e">
        <f t="shared" si="5"/>
        <v>#VALUE!</v>
      </c>
      <c r="J35" s="148">
        <f>SUM($H$18:$H35)</f>
        <v>0</v>
      </c>
    </row>
    <row r="36" spans="1:10" x14ac:dyDescent="0.2">
      <c r="A36" s="151" t="str">
        <f>IF(Values_Entered,A35+1,"")</f>
        <v/>
      </c>
      <c r="B36" s="150" t="str">
        <f t="shared" si="0"/>
        <v/>
      </c>
      <c r="C36" s="148" t="str">
        <f t="shared" si="6"/>
        <v/>
      </c>
      <c r="D36" s="148" t="str">
        <f t="shared" si="1"/>
        <v/>
      </c>
      <c r="E36" s="149" t="e">
        <f t="shared" si="2"/>
        <v>#VALUE!</v>
      </c>
      <c r="F36" s="148" t="e">
        <f t="shared" si="3"/>
        <v>#VALUE!</v>
      </c>
      <c r="G36" s="148" t="str">
        <f t="shared" si="4"/>
        <v/>
      </c>
      <c r="H36" s="148" t="str">
        <f t="shared" si="7"/>
        <v/>
      </c>
      <c r="I36" s="148" t="e">
        <f t="shared" si="5"/>
        <v>#VALUE!</v>
      </c>
      <c r="J36" s="148">
        <f>SUM($H$18:$H36)</f>
        <v>0</v>
      </c>
    </row>
    <row r="37" spans="1:10" x14ac:dyDescent="0.2">
      <c r="A37" s="151" t="str">
        <f>IF(Values_Entered,A36+1,"")</f>
        <v/>
      </c>
      <c r="B37" s="150" t="str">
        <f t="shared" si="0"/>
        <v/>
      </c>
      <c r="C37" s="148" t="str">
        <f t="shared" si="6"/>
        <v/>
      </c>
      <c r="D37" s="148" t="str">
        <f t="shared" si="1"/>
        <v/>
      </c>
      <c r="E37" s="149" t="e">
        <f t="shared" si="2"/>
        <v>#VALUE!</v>
      </c>
      <c r="F37" s="148" t="e">
        <f t="shared" si="3"/>
        <v>#VALUE!</v>
      </c>
      <c r="G37" s="148" t="str">
        <f t="shared" si="4"/>
        <v/>
      </c>
      <c r="H37" s="148" t="str">
        <f t="shared" si="7"/>
        <v/>
      </c>
      <c r="I37" s="148" t="e">
        <f t="shared" si="5"/>
        <v>#VALUE!</v>
      </c>
      <c r="J37" s="148">
        <f>SUM($H$18:$H37)</f>
        <v>0</v>
      </c>
    </row>
    <row r="38" spans="1:10" x14ac:dyDescent="0.2">
      <c r="A38" s="151" t="str">
        <f>IF(Values_Entered,A37+1,"")</f>
        <v/>
      </c>
      <c r="B38" s="150" t="str">
        <f t="shared" si="0"/>
        <v/>
      </c>
      <c r="C38" s="148" t="str">
        <f t="shared" si="6"/>
        <v/>
      </c>
      <c r="D38" s="148" t="str">
        <f t="shared" si="1"/>
        <v/>
      </c>
      <c r="E38" s="149" t="e">
        <f t="shared" si="2"/>
        <v>#VALUE!</v>
      </c>
      <c r="F38" s="148" t="e">
        <f t="shared" si="3"/>
        <v>#VALUE!</v>
      </c>
      <c r="G38" s="148" t="str">
        <f t="shared" si="4"/>
        <v/>
      </c>
      <c r="H38" s="148" t="str">
        <f t="shared" si="7"/>
        <v/>
      </c>
      <c r="I38" s="148" t="e">
        <f t="shared" si="5"/>
        <v>#VALUE!</v>
      </c>
      <c r="J38" s="148">
        <f>SUM($H$18:$H38)</f>
        <v>0</v>
      </c>
    </row>
    <row r="39" spans="1:10" x14ac:dyDescent="0.2">
      <c r="A39" s="151" t="str">
        <f>IF(Values_Entered,A38+1,"")</f>
        <v/>
      </c>
      <c r="B39" s="150" t="str">
        <f t="shared" si="0"/>
        <v/>
      </c>
      <c r="C39" s="148" t="str">
        <f t="shared" si="6"/>
        <v/>
      </c>
      <c r="D39" s="148" t="str">
        <f t="shared" si="1"/>
        <v/>
      </c>
      <c r="E39" s="149" t="e">
        <f t="shared" si="2"/>
        <v>#VALUE!</v>
      </c>
      <c r="F39" s="148" t="e">
        <f t="shared" si="3"/>
        <v>#VALUE!</v>
      </c>
      <c r="G39" s="148" t="str">
        <f t="shared" si="4"/>
        <v/>
      </c>
      <c r="H39" s="148" t="str">
        <f t="shared" si="7"/>
        <v/>
      </c>
      <c r="I39" s="148" t="e">
        <f t="shared" si="5"/>
        <v>#VALUE!</v>
      </c>
      <c r="J39" s="148">
        <f>SUM($H$18:$H39)</f>
        <v>0</v>
      </c>
    </row>
    <row r="40" spans="1:10" x14ac:dyDescent="0.2">
      <c r="A40" s="151" t="str">
        <f>IF(Values_Entered,A39+1,"")</f>
        <v/>
      </c>
      <c r="B40" s="150" t="str">
        <f t="shared" si="0"/>
        <v/>
      </c>
      <c r="C40" s="148" t="str">
        <f t="shared" si="6"/>
        <v/>
      </c>
      <c r="D40" s="148" t="str">
        <f t="shared" si="1"/>
        <v/>
      </c>
      <c r="E40" s="149" t="e">
        <f t="shared" si="2"/>
        <v>#VALUE!</v>
      </c>
      <c r="F40" s="148" t="e">
        <f t="shared" si="3"/>
        <v>#VALUE!</v>
      </c>
      <c r="G40" s="148" t="str">
        <f t="shared" si="4"/>
        <v/>
      </c>
      <c r="H40" s="148" t="str">
        <f t="shared" si="7"/>
        <v/>
      </c>
      <c r="I40" s="148" t="e">
        <f t="shared" si="5"/>
        <v>#VALUE!</v>
      </c>
      <c r="J40" s="148">
        <f>SUM($H$18:$H40)</f>
        <v>0</v>
      </c>
    </row>
    <row r="41" spans="1:10" x14ac:dyDescent="0.2">
      <c r="A41" s="151" t="str">
        <f>IF(Values_Entered,A40+1,"")</f>
        <v/>
      </c>
      <c r="B41" s="150" t="str">
        <f t="shared" si="0"/>
        <v/>
      </c>
      <c r="C41" s="148" t="str">
        <f t="shared" si="6"/>
        <v/>
      </c>
      <c r="D41" s="148" t="str">
        <f t="shared" si="1"/>
        <v/>
      </c>
      <c r="E41" s="149" t="e">
        <f t="shared" si="2"/>
        <v>#VALUE!</v>
      </c>
      <c r="F41" s="148" t="e">
        <f t="shared" si="3"/>
        <v>#VALUE!</v>
      </c>
      <c r="G41" s="148" t="str">
        <f t="shared" si="4"/>
        <v/>
      </c>
      <c r="H41" s="148" t="str">
        <f t="shared" si="7"/>
        <v/>
      </c>
      <c r="I41" s="148" t="e">
        <f t="shared" si="5"/>
        <v>#VALUE!</v>
      </c>
      <c r="J41" s="148">
        <f>SUM($H$18:$H41)</f>
        <v>0</v>
      </c>
    </row>
    <row r="42" spans="1:10" x14ac:dyDescent="0.2">
      <c r="A42" s="151" t="str">
        <f>IF(Values_Entered,A41+1,"")</f>
        <v/>
      </c>
      <c r="B42" s="150" t="str">
        <f t="shared" si="0"/>
        <v/>
      </c>
      <c r="C42" s="148" t="str">
        <f t="shared" si="6"/>
        <v/>
      </c>
      <c r="D42" s="148" t="str">
        <f t="shared" si="1"/>
        <v/>
      </c>
      <c r="E42" s="149" t="e">
        <f t="shared" si="2"/>
        <v>#VALUE!</v>
      </c>
      <c r="F42" s="148" t="e">
        <f t="shared" si="3"/>
        <v>#VALUE!</v>
      </c>
      <c r="G42" s="148" t="str">
        <f t="shared" si="4"/>
        <v/>
      </c>
      <c r="H42" s="148" t="str">
        <f t="shared" si="7"/>
        <v/>
      </c>
      <c r="I42" s="148" t="e">
        <f t="shared" si="5"/>
        <v>#VALUE!</v>
      </c>
      <c r="J42" s="148">
        <f>SUM($H$18:$H42)</f>
        <v>0</v>
      </c>
    </row>
    <row r="43" spans="1:10" x14ac:dyDescent="0.2">
      <c r="A43" s="151" t="str">
        <f>IF(Values_Entered,A42+1,"")</f>
        <v/>
      </c>
      <c r="B43" s="150" t="str">
        <f t="shared" si="0"/>
        <v/>
      </c>
      <c r="C43" s="148" t="str">
        <f t="shared" si="6"/>
        <v/>
      </c>
      <c r="D43" s="148" t="str">
        <f t="shared" si="1"/>
        <v/>
      </c>
      <c r="E43" s="149" t="e">
        <f t="shared" si="2"/>
        <v>#VALUE!</v>
      </c>
      <c r="F43" s="148" t="e">
        <f t="shared" si="3"/>
        <v>#VALUE!</v>
      </c>
      <c r="G43" s="148" t="str">
        <f t="shared" si="4"/>
        <v/>
      </c>
      <c r="H43" s="148" t="str">
        <f t="shared" si="7"/>
        <v/>
      </c>
      <c r="I43" s="148" t="e">
        <f t="shared" si="5"/>
        <v>#VALUE!</v>
      </c>
      <c r="J43" s="148">
        <f>SUM($H$18:$H43)</f>
        <v>0</v>
      </c>
    </row>
    <row r="44" spans="1:10" x14ac:dyDescent="0.2">
      <c r="A44" s="151" t="str">
        <f>IF(Values_Entered,A43+1,"")</f>
        <v/>
      </c>
      <c r="B44" s="150" t="str">
        <f t="shared" si="0"/>
        <v/>
      </c>
      <c r="C44" s="148" t="str">
        <f t="shared" si="6"/>
        <v/>
      </c>
      <c r="D44" s="148" t="str">
        <f t="shared" si="1"/>
        <v/>
      </c>
      <c r="E44" s="149" t="e">
        <f t="shared" si="2"/>
        <v>#VALUE!</v>
      </c>
      <c r="F44" s="148" t="e">
        <f t="shared" si="3"/>
        <v>#VALUE!</v>
      </c>
      <c r="G44" s="148" t="str">
        <f t="shared" si="4"/>
        <v/>
      </c>
      <c r="H44" s="148" t="str">
        <f t="shared" si="7"/>
        <v/>
      </c>
      <c r="I44" s="148" t="e">
        <f t="shared" si="5"/>
        <v>#VALUE!</v>
      </c>
      <c r="J44" s="148">
        <f>SUM($H$18:$H44)</f>
        <v>0</v>
      </c>
    </row>
    <row r="45" spans="1:10" x14ac:dyDescent="0.2">
      <c r="A45" s="151" t="str">
        <f>IF(Values_Entered,A44+1,"")</f>
        <v/>
      </c>
      <c r="B45" s="150" t="str">
        <f t="shared" si="0"/>
        <v/>
      </c>
      <c r="C45" s="148" t="str">
        <f t="shared" si="6"/>
        <v/>
      </c>
      <c r="D45" s="148" t="str">
        <f t="shared" si="1"/>
        <v/>
      </c>
      <c r="E45" s="149" t="e">
        <f t="shared" si="2"/>
        <v>#VALUE!</v>
      </c>
      <c r="F45" s="148" t="e">
        <f t="shared" si="3"/>
        <v>#VALUE!</v>
      </c>
      <c r="G45" s="148" t="str">
        <f t="shared" si="4"/>
        <v/>
      </c>
      <c r="H45" s="148" t="str">
        <f t="shared" si="7"/>
        <v/>
      </c>
      <c r="I45" s="148" t="e">
        <f t="shared" si="5"/>
        <v>#VALUE!</v>
      </c>
      <c r="J45" s="148">
        <f>SUM($H$18:$H45)</f>
        <v>0</v>
      </c>
    </row>
    <row r="46" spans="1:10" x14ac:dyDescent="0.2">
      <c r="A46" s="151" t="str">
        <f>IF(Values_Entered,A45+1,"")</f>
        <v/>
      </c>
      <c r="B46" s="150" t="str">
        <f t="shared" si="0"/>
        <v/>
      </c>
      <c r="C46" s="148" t="str">
        <f t="shared" si="6"/>
        <v/>
      </c>
      <c r="D46" s="148" t="str">
        <f t="shared" si="1"/>
        <v/>
      </c>
      <c r="E46" s="149" t="e">
        <f t="shared" si="2"/>
        <v>#VALUE!</v>
      </c>
      <c r="F46" s="148" t="e">
        <f t="shared" si="3"/>
        <v>#VALUE!</v>
      </c>
      <c r="G46" s="148" t="str">
        <f t="shared" si="4"/>
        <v/>
      </c>
      <c r="H46" s="148" t="str">
        <f t="shared" si="7"/>
        <v/>
      </c>
      <c r="I46" s="148" t="e">
        <f t="shared" si="5"/>
        <v>#VALUE!</v>
      </c>
      <c r="J46" s="148">
        <f>SUM($H$18:$H46)</f>
        <v>0</v>
      </c>
    </row>
    <row r="47" spans="1:10" x14ac:dyDescent="0.2">
      <c r="A47" s="151" t="str">
        <f>IF(Values_Entered,A46+1,"")</f>
        <v/>
      </c>
      <c r="B47" s="150" t="str">
        <f t="shared" si="0"/>
        <v/>
      </c>
      <c r="C47" s="148" t="str">
        <f t="shared" si="6"/>
        <v/>
      </c>
      <c r="D47" s="148" t="str">
        <f t="shared" si="1"/>
        <v/>
      </c>
      <c r="E47" s="149" t="e">
        <f t="shared" si="2"/>
        <v>#VALUE!</v>
      </c>
      <c r="F47" s="148" t="e">
        <f t="shared" si="3"/>
        <v>#VALUE!</v>
      </c>
      <c r="G47" s="148" t="str">
        <f t="shared" si="4"/>
        <v/>
      </c>
      <c r="H47" s="148" t="str">
        <f t="shared" si="7"/>
        <v/>
      </c>
      <c r="I47" s="148" t="e">
        <f t="shared" si="5"/>
        <v>#VALUE!</v>
      </c>
      <c r="J47" s="148">
        <f>SUM($H$18:$H47)</f>
        <v>0</v>
      </c>
    </row>
    <row r="48" spans="1:10" x14ac:dyDescent="0.2">
      <c r="A48" s="151" t="str">
        <f>IF(Values_Entered,A47+1,"")</f>
        <v/>
      </c>
      <c r="B48" s="150" t="str">
        <f t="shared" si="0"/>
        <v/>
      </c>
      <c r="C48" s="148" t="str">
        <f t="shared" si="6"/>
        <v/>
      </c>
      <c r="D48" s="148" t="str">
        <f t="shared" si="1"/>
        <v/>
      </c>
      <c r="E48" s="149" t="e">
        <f t="shared" si="2"/>
        <v>#VALUE!</v>
      </c>
      <c r="F48" s="148" t="e">
        <f t="shared" si="3"/>
        <v>#VALUE!</v>
      </c>
      <c r="G48" s="148" t="str">
        <f t="shared" si="4"/>
        <v/>
      </c>
      <c r="H48" s="148" t="str">
        <f t="shared" si="7"/>
        <v/>
      </c>
      <c r="I48" s="148" t="e">
        <f t="shared" si="5"/>
        <v>#VALUE!</v>
      </c>
      <c r="J48" s="148">
        <f>SUM($H$18:$H48)</f>
        <v>0</v>
      </c>
    </row>
    <row r="49" spans="1:10" x14ac:dyDescent="0.2">
      <c r="A49" s="151" t="str">
        <f>IF(Values_Entered,A48+1,"")</f>
        <v/>
      </c>
      <c r="B49" s="150" t="str">
        <f t="shared" si="0"/>
        <v/>
      </c>
      <c r="C49" s="148" t="str">
        <f t="shared" si="6"/>
        <v/>
      </c>
      <c r="D49" s="148" t="str">
        <f t="shared" si="1"/>
        <v/>
      </c>
      <c r="E49" s="149" t="e">
        <f t="shared" si="2"/>
        <v>#VALUE!</v>
      </c>
      <c r="F49" s="148" t="e">
        <f t="shared" si="3"/>
        <v>#VALUE!</v>
      </c>
      <c r="G49" s="148" t="str">
        <f t="shared" si="4"/>
        <v/>
      </c>
      <c r="H49" s="148" t="str">
        <f t="shared" si="7"/>
        <v/>
      </c>
      <c r="I49" s="148" t="e">
        <f t="shared" si="5"/>
        <v>#VALUE!</v>
      </c>
      <c r="J49" s="148">
        <f>SUM($H$18:$H49)</f>
        <v>0</v>
      </c>
    </row>
    <row r="50" spans="1:10" x14ac:dyDescent="0.2">
      <c r="A50" s="151" t="str">
        <f>IF(Values_Entered,A49+1,"")</f>
        <v/>
      </c>
      <c r="B50" s="150" t="str">
        <f t="shared" si="0"/>
        <v/>
      </c>
      <c r="C50" s="148" t="str">
        <f t="shared" si="6"/>
        <v/>
      </c>
      <c r="D50" s="148" t="str">
        <f t="shared" si="1"/>
        <v/>
      </c>
      <c r="E50" s="149" t="e">
        <f t="shared" si="2"/>
        <v>#VALUE!</v>
      </c>
      <c r="F50" s="148" t="e">
        <f t="shared" si="3"/>
        <v>#VALUE!</v>
      </c>
      <c r="G50" s="148" t="str">
        <f t="shared" si="4"/>
        <v/>
      </c>
      <c r="H50" s="148" t="str">
        <f t="shared" si="7"/>
        <v/>
      </c>
      <c r="I50" s="148" t="e">
        <f t="shared" si="5"/>
        <v>#VALUE!</v>
      </c>
      <c r="J50" s="148">
        <f>SUM($H$18:$H50)</f>
        <v>0</v>
      </c>
    </row>
    <row r="51" spans="1:10" x14ac:dyDescent="0.2">
      <c r="A51" s="151" t="str">
        <f>IF(Values_Entered,A50+1,"")</f>
        <v/>
      </c>
      <c r="B51" s="150" t="str">
        <f t="shared" si="0"/>
        <v/>
      </c>
      <c r="C51" s="148" t="str">
        <f t="shared" si="6"/>
        <v/>
      </c>
      <c r="D51" s="148" t="str">
        <f t="shared" si="1"/>
        <v/>
      </c>
      <c r="E51" s="149" t="e">
        <f t="shared" si="2"/>
        <v>#VALUE!</v>
      </c>
      <c r="F51" s="148" t="e">
        <f t="shared" si="3"/>
        <v>#VALUE!</v>
      </c>
      <c r="G51" s="148" t="str">
        <f t="shared" si="4"/>
        <v/>
      </c>
      <c r="H51" s="148" t="str">
        <f t="shared" si="7"/>
        <v/>
      </c>
      <c r="I51" s="148" t="e">
        <f t="shared" si="5"/>
        <v>#VALUE!</v>
      </c>
      <c r="J51" s="148">
        <f>SUM($H$18:$H51)</f>
        <v>0</v>
      </c>
    </row>
    <row r="52" spans="1:10" x14ac:dyDescent="0.2">
      <c r="A52" s="151" t="str">
        <f>IF(Values_Entered,A51+1,"")</f>
        <v/>
      </c>
      <c r="B52" s="150" t="str">
        <f t="shared" si="0"/>
        <v/>
      </c>
      <c r="C52" s="148" t="str">
        <f t="shared" si="6"/>
        <v/>
      </c>
      <c r="D52" s="148" t="str">
        <f t="shared" si="1"/>
        <v/>
      </c>
      <c r="E52" s="149" t="e">
        <f t="shared" si="2"/>
        <v>#VALUE!</v>
      </c>
      <c r="F52" s="148" t="e">
        <f t="shared" si="3"/>
        <v>#VALUE!</v>
      </c>
      <c r="G52" s="148" t="str">
        <f t="shared" si="4"/>
        <v/>
      </c>
      <c r="H52" s="148" t="str">
        <f t="shared" si="7"/>
        <v/>
      </c>
      <c r="I52" s="148" t="e">
        <f t="shared" si="5"/>
        <v>#VALUE!</v>
      </c>
      <c r="J52" s="148">
        <f>SUM($H$18:$H52)</f>
        <v>0</v>
      </c>
    </row>
    <row r="53" spans="1:10" x14ac:dyDescent="0.2">
      <c r="A53" s="151" t="str">
        <f>IF(Values_Entered,A52+1,"")</f>
        <v/>
      </c>
      <c r="B53" s="150" t="str">
        <f t="shared" si="0"/>
        <v/>
      </c>
      <c r="C53" s="148" t="str">
        <f t="shared" si="6"/>
        <v/>
      </c>
      <c r="D53" s="148" t="str">
        <f t="shared" si="1"/>
        <v/>
      </c>
      <c r="E53" s="149" t="e">
        <f t="shared" si="2"/>
        <v>#VALUE!</v>
      </c>
      <c r="F53" s="148" t="e">
        <f t="shared" si="3"/>
        <v>#VALUE!</v>
      </c>
      <c r="G53" s="148" t="str">
        <f t="shared" si="4"/>
        <v/>
      </c>
      <c r="H53" s="148" t="str">
        <f t="shared" si="7"/>
        <v/>
      </c>
      <c r="I53" s="148" t="e">
        <f t="shared" si="5"/>
        <v>#VALUE!</v>
      </c>
      <c r="J53" s="148">
        <f>SUM($H$18:$H53)</f>
        <v>0</v>
      </c>
    </row>
    <row r="54" spans="1:10" x14ac:dyDescent="0.2">
      <c r="A54" s="151" t="str">
        <f>IF(Values_Entered,A53+1,"")</f>
        <v/>
      </c>
      <c r="B54" s="150" t="str">
        <f t="shared" si="0"/>
        <v/>
      </c>
      <c r="C54" s="148" t="str">
        <f t="shared" si="6"/>
        <v/>
      </c>
      <c r="D54" s="148" t="str">
        <f t="shared" si="1"/>
        <v/>
      </c>
      <c r="E54" s="149" t="e">
        <f t="shared" si="2"/>
        <v>#VALUE!</v>
      </c>
      <c r="F54" s="148" t="e">
        <f t="shared" si="3"/>
        <v>#VALUE!</v>
      </c>
      <c r="G54" s="148" t="str">
        <f t="shared" si="4"/>
        <v/>
      </c>
      <c r="H54" s="148" t="str">
        <f t="shared" si="7"/>
        <v/>
      </c>
      <c r="I54" s="148" t="e">
        <f t="shared" si="5"/>
        <v>#VALUE!</v>
      </c>
      <c r="J54" s="148">
        <f>SUM($H$18:$H54)</f>
        <v>0</v>
      </c>
    </row>
    <row r="55" spans="1:10" x14ac:dyDescent="0.2">
      <c r="A55" s="151" t="str">
        <f>IF(Values_Entered,A54+1,"")</f>
        <v/>
      </c>
      <c r="B55" s="150" t="str">
        <f t="shared" si="0"/>
        <v/>
      </c>
      <c r="C55" s="148" t="str">
        <f t="shared" si="6"/>
        <v/>
      </c>
      <c r="D55" s="148" t="str">
        <f t="shared" si="1"/>
        <v/>
      </c>
      <c r="E55" s="149" t="e">
        <f t="shared" si="2"/>
        <v>#VALUE!</v>
      </c>
      <c r="F55" s="148" t="e">
        <f t="shared" si="3"/>
        <v>#VALUE!</v>
      </c>
      <c r="G55" s="148" t="str">
        <f t="shared" si="4"/>
        <v/>
      </c>
      <c r="H55" s="148" t="str">
        <f t="shared" si="7"/>
        <v/>
      </c>
      <c r="I55" s="148" t="e">
        <f t="shared" si="5"/>
        <v>#VALUE!</v>
      </c>
      <c r="J55" s="148">
        <f>SUM($H$18:$H55)</f>
        <v>0</v>
      </c>
    </row>
    <row r="56" spans="1:10" x14ac:dyDescent="0.2">
      <c r="A56" s="151" t="str">
        <f>IF(Values_Entered,A55+1,"")</f>
        <v/>
      </c>
      <c r="B56" s="150" t="str">
        <f t="shared" si="0"/>
        <v/>
      </c>
      <c r="C56" s="148" t="str">
        <f t="shared" si="6"/>
        <v/>
      </c>
      <c r="D56" s="148" t="str">
        <f t="shared" si="1"/>
        <v/>
      </c>
      <c r="E56" s="149" t="e">
        <f t="shared" si="2"/>
        <v>#VALUE!</v>
      </c>
      <c r="F56" s="148" t="e">
        <f t="shared" si="3"/>
        <v>#VALUE!</v>
      </c>
      <c r="G56" s="148" t="str">
        <f t="shared" si="4"/>
        <v/>
      </c>
      <c r="H56" s="148" t="str">
        <f t="shared" si="7"/>
        <v/>
      </c>
      <c r="I56" s="148" t="e">
        <f t="shared" si="5"/>
        <v>#VALUE!</v>
      </c>
      <c r="J56" s="148">
        <f>SUM($H$18:$H56)</f>
        <v>0</v>
      </c>
    </row>
    <row r="57" spans="1:10" x14ac:dyDescent="0.2">
      <c r="A57" s="151" t="str">
        <f>IF(Values_Entered,A56+1,"")</f>
        <v/>
      </c>
      <c r="B57" s="150" t="str">
        <f t="shared" si="0"/>
        <v/>
      </c>
      <c r="C57" s="148" t="str">
        <f t="shared" si="6"/>
        <v/>
      </c>
      <c r="D57" s="148" t="str">
        <f t="shared" si="1"/>
        <v/>
      </c>
      <c r="E57" s="149" t="e">
        <f t="shared" si="2"/>
        <v>#VALUE!</v>
      </c>
      <c r="F57" s="148" t="e">
        <f t="shared" si="3"/>
        <v>#VALUE!</v>
      </c>
      <c r="G57" s="148" t="str">
        <f t="shared" si="4"/>
        <v/>
      </c>
      <c r="H57" s="148" t="str">
        <f t="shared" si="7"/>
        <v/>
      </c>
      <c r="I57" s="148" t="e">
        <f t="shared" si="5"/>
        <v>#VALUE!</v>
      </c>
      <c r="J57" s="148">
        <f>SUM($H$18:$H57)</f>
        <v>0</v>
      </c>
    </row>
    <row r="58" spans="1:10" x14ac:dyDescent="0.2">
      <c r="A58" s="151" t="str">
        <f>IF(Values_Entered,A57+1,"")</f>
        <v/>
      </c>
      <c r="B58" s="150" t="str">
        <f t="shared" si="0"/>
        <v/>
      </c>
      <c r="C58" s="148" t="str">
        <f t="shared" si="6"/>
        <v/>
      </c>
      <c r="D58" s="148" t="str">
        <f t="shared" si="1"/>
        <v/>
      </c>
      <c r="E58" s="149" t="e">
        <f t="shared" si="2"/>
        <v>#VALUE!</v>
      </c>
      <c r="F58" s="148" t="e">
        <f t="shared" si="3"/>
        <v>#VALUE!</v>
      </c>
      <c r="G58" s="148" t="str">
        <f t="shared" si="4"/>
        <v/>
      </c>
      <c r="H58" s="148" t="str">
        <f t="shared" si="7"/>
        <v/>
      </c>
      <c r="I58" s="148" t="e">
        <f t="shared" si="5"/>
        <v>#VALUE!</v>
      </c>
      <c r="J58" s="148">
        <f>SUM($H$18:$H58)</f>
        <v>0</v>
      </c>
    </row>
    <row r="59" spans="1:10" x14ac:dyDescent="0.2">
      <c r="A59" s="151" t="str">
        <f>IF(Values_Entered,A58+1,"")</f>
        <v/>
      </c>
      <c r="B59" s="150" t="str">
        <f t="shared" si="0"/>
        <v/>
      </c>
      <c r="C59" s="148" t="str">
        <f t="shared" si="6"/>
        <v/>
      </c>
      <c r="D59" s="148" t="str">
        <f t="shared" si="1"/>
        <v/>
      </c>
      <c r="E59" s="149" t="e">
        <f t="shared" si="2"/>
        <v>#VALUE!</v>
      </c>
      <c r="F59" s="148" t="e">
        <f t="shared" si="3"/>
        <v>#VALUE!</v>
      </c>
      <c r="G59" s="148" t="str">
        <f t="shared" si="4"/>
        <v/>
      </c>
      <c r="H59" s="148" t="str">
        <f t="shared" si="7"/>
        <v/>
      </c>
      <c r="I59" s="148" t="e">
        <f t="shared" si="5"/>
        <v>#VALUE!</v>
      </c>
      <c r="J59" s="148">
        <f>SUM($H$18:$H59)</f>
        <v>0</v>
      </c>
    </row>
    <row r="60" spans="1:10" x14ac:dyDescent="0.2">
      <c r="A60" s="151" t="str">
        <f>IF(Values_Entered,A59+1,"")</f>
        <v/>
      </c>
      <c r="B60" s="150" t="str">
        <f t="shared" si="0"/>
        <v/>
      </c>
      <c r="C60" s="148" t="str">
        <f t="shared" si="6"/>
        <v/>
      </c>
      <c r="D60" s="148" t="str">
        <f t="shared" si="1"/>
        <v/>
      </c>
      <c r="E60" s="149" t="e">
        <f t="shared" si="2"/>
        <v>#VALUE!</v>
      </c>
      <c r="F60" s="148" t="e">
        <f t="shared" si="3"/>
        <v>#VALUE!</v>
      </c>
      <c r="G60" s="148" t="str">
        <f t="shared" si="4"/>
        <v/>
      </c>
      <c r="H60" s="148" t="str">
        <f t="shared" si="7"/>
        <v/>
      </c>
      <c r="I60" s="148" t="e">
        <f t="shared" si="5"/>
        <v>#VALUE!</v>
      </c>
      <c r="J60" s="148">
        <f>SUM($H$18:$H60)</f>
        <v>0</v>
      </c>
    </row>
    <row r="61" spans="1:10" x14ac:dyDescent="0.2">
      <c r="A61" s="151" t="str">
        <f>IF(Values_Entered,A60+1,"")</f>
        <v/>
      </c>
      <c r="B61" s="150" t="str">
        <f t="shared" si="0"/>
        <v/>
      </c>
      <c r="C61" s="148" t="str">
        <f t="shared" si="6"/>
        <v/>
      </c>
      <c r="D61" s="148" t="str">
        <f t="shared" si="1"/>
        <v/>
      </c>
      <c r="E61" s="149" t="e">
        <f t="shared" si="2"/>
        <v>#VALUE!</v>
      </c>
      <c r="F61" s="148" t="e">
        <f t="shared" si="3"/>
        <v>#VALUE!</v>
      </c>
      <c r="G61" s="148" t="str">
        <f t="shared" si="4"/>
        <v/>
      </c>
      <c r="H61" s="148" t="str">
        <f t="shared" si="7"/>
        <v/>
      </c>
      <c r="I61" s="148" t="e">
        <f t="shared" si="5"/>
        <v>#VALUE!</v>
      </c>
      <c r="J61" s="148">
        <f>SUM($H$18:$H61)</f>
        <v>0</v>
      </c>
    </row>
    <row r="62" spans="1:10" x14ac:dyDescent="0.2">
      <c r="A62" s="151" t="str">
        <f>IF(Values_Entered,A61+1,"")</f>
        <v/>
      </c>
      <c r="B62" s="150" t="str">
        <f t="shared" si="0"/>
        <v/>
      </c>
      <c r="C62" s="148" t="str">
        <f t="shared" si="6"/>
        <v/>
      </c>
      <c r="D62" s="148" t="str">
        <f t="shared" si="1"/>
        <v/>
      </c>
      <c r="E62" s="149" t="e">
        <f t="shared" si="2"/>
        <v>#VALUE!</v>
      </c>
      <c r="F62" s="148" t="e">
        <f t="shared" si="3"/>
        <v>#VALUE!</v>
      </c>
      <c r="G62" s="148" t="str">
        <f t="shared" si="4"/>
        <v/>
      </c>
      <c r="H62" s="148" t="str">
        <f t="shared" si="7"/>
        <v/>
      </c>
      <c r="I62" s="148" t="e">
        <f t="shared" si="5"/>
        <v>#VALUE!</v>
      </c>
      <c r="J62" s="148">
        <f>SUM($H$18:$H62)</f>
        <v>0</v>
      </c>
    </row>
    <row r="63" spans="1:10" x14ac:dyDescent="0.2">
      <c r="A63" s="151" t="str">
        <f>IF(Values_Entered,A62+1,"")</f>
        <v/>
      </c>
      <c r="B63" s="150" t="str">
        <f t="shared" si="0"/>
        <v/>
      </c>
      <c r="C63" s="148" t="str">
        <f t="shared" si="6"/>
        <v/>
      </c>
      <c r="D63" s="148" t="str">
        <f t="shared" si="1"/>
        <v/>
      </c>
      <c r="E63" s="149" t="e">
        <f t="shared" si="2"/>
        <v>#VALUE!</v>
      </c>
      <c r="F63" s="148" t="e">
        <f t="shared" si="3"/>
        <v>#VALUE!</v>
      </c>
      <c r="G63" s="148" t="str">
        <f t="shared" si="4"/>
        <v/>
      </c>
      <c r="H63" s="148" t="str">
        <f t="shared" si="7"/>
        <v/>
      </c>
      <c r="I63" s="148" t="e">
        <f t="shared" si="5"/>
        <v>#VALUE!</v>
      </c>
      <c r="J63" s="148">
        <f>SUM($H$18:$H63)</f>
        <v>0</v>
      </c>
    </row>
    <row r="64" spans="1:10" x14ac:dyDescent="0.2">
      <c r="A64" s="151" t="str">
        <f>IF(Values_Entered,A63+1,"")</f>
        <v/>
      </c>
      <c r="B64" s="150" t="str">
        <f t="shared" si="0"/>
        <v/>
      </c>
      <c r="C64" s="148" t="str">
        <f t="shared" si="6"/>
        <v/>
      </c>
      <c r="D64" s="148" t="str">
        <f t="shared" si="1"/>
        <v/>
      </c>
      <c r="E64" s="149" t="e">
        <f t="shared" si="2"/>
        <v>#VALUE!</v>
      </c>
      <c r="F64" s="148" t="e">
        <f t="shared" si="3"/>
        <v>#VALUE!</v>
      </c>
      <c r="G64" s="148" t="str">
        <f t="shared" si="4"/>
        <v/>
      </c>
      <c r="H64" s="148" t="str">
        <f t="shared" si="7"/>
        <v/>
      </c>
      <c r="I64" s="148" t="e">
        <f t="shared" si="5"/>
        <v>#VALUE!</v>
      </c>
      <c r="J64" s="148">
        <f>SUM($H$18:$H64)</f>
        <v>0</v>
      </c>
    </row>
    <row r="65" spans="1:10" x14ac:dyDescent="0.2">
      <c r="A65" s="151" t="str">
        <f>IF(Values_Entered,A64+1,"")</f>
        <v/>
      </c>
      <c r="B65" s="150" t="str">
        <f t="shared" si="0"/>
        <v/>
      </c>
      <c r="C65" s="148" t="str">
        <f t="shared" si="6"/>
        <v/>
      </c>
      <c r="D65" s="148" t="str">
        <f t="shared" si="1"/>
        <v/>
      </c>
      <c r="E65" s="149" t="e">
        <f t="shared" si="2"/>
        <v>#VALUE!</v>
      </c>
      <c r="F65" s="148" t="e">
        <f t="shared" si="3"/>
        <v>#VALUE!</v>
      </c>
      <c r="G65" s="148" t="str">
        <f t="shared" si="4"/>
        <v/>
      </c>
      <c r="H65" s="148" t="str">
        <f t="shared" si="7"/>
        <v/>
      </c>
      <c r="I65" s="148" t="e">
        <f t="shared" si="5"/>
        <v>#VALUE!</v>
      </c>
      <c r="J65" s="148">
        <f>SUM($H$18:$H65)</f>
        <v>0</v>
      </c>
    </row>
    <row r="66" spans="1:10" x14ac:dyDescent="0.2">
      <c r="A66" s="151" t="str">
        <f>IF(Values_Entered,A65+1,"")</f>
        <v/>
      </c>
      <c r="B66" s="150" t="str">
        <f t="shared" si="0"/>
        <v/>
      </c>
      <c r="C66" s="148" t="str">
        <f t="shared" si="6"/>
        <v/>
      </c>
      <c r="D66" s="148" t="str">
        <f t="shared" si="1"/>
        <v/>
      </c>
      <c r="E66" s="149" t="e">
        <f t="shared" si="2"/>
        <v>#VALUE!</v>
      </c>
      <c r="F66" s="148" t="e">
        <f t="shared" si="3"/>
        <v>#VALUE!</v>
      </c>
      <c r="G66" s="148" t="str">
        <f t="shared" si="4"/>
        <v/>
      </c>
      <c r="H66" s="148" t="str">
        <f t="shared" si="7"/>
        <v/>
      </c>
      <c r="I66" s="148" t="e">
        <f t="shared" si="5"/>
        <v>#VALUE!</v>
      </c>
      <c r="J66" s="148">
        <f>SUM($H$18:$H66)</f>
        <v>0</v>
      </c>
    </row>
    <row r="67" spans="1:10" x14ac:dyDescent="0.2">
      <c r="A67" s="151" t="str">
        <f>IF(Values_Entered,A66+1,"")</f>
        <v/>
      </c>
      <c r="B67" s="150" t="str">
        <f t="shared" si="0"/>
        <v/>
      </c>
      <c r="C67" s="148" t="str">
        <f t="shared" si="6"/>
        <v/>
      </c>
      <c r="D67" s="148" t="str">
        <f t="shared" si="1"/>
        <v/>
      </c>
      <c r="E67" s="149" t="e">
        <f t="shared" si="2"/>
        <v>#VALUE!</v>
      </c>
      <c r="F67" s="148" t="e">
        <f t="shared" si="3"/>
        <v>#VALUE!</v>
      </c>
      <c r="G67" s="148" t="str">
        <f t="shared" si="4"/>
        <v/>
      </c>
      <c r="H67" s="148" t="str">
        <f t="shared" si="7"/>
        <v/>
      </c>
      <c r="I67" s="148" t="e">
        <f t="shared" si="5"/>
        <v>#VALUE!</v>
      </c>
      <c r="J67" s="148">
        <f>SUM($H$18:$H67)</f>
        <v>0</v>
      </c>
    </row>
    <row r="68" spans="1:10" x14ac:dyDescent="0.2">
      <c r="A68" s="151" t="str">
        <f>IF(Values_Entered,A67+1,"")</f>
        <v/>
      </c>
      <c r="B68" s="150" t="str">
        <f t="shared" si="0"/>
        <v/>
      </c>
      <c r="C68" s="148" t="str">
        <f t="shared" si="6"/>
        <v/>
      </c>
      <c r="D68" s="148" t="str">
        <f t="shared" si="1"/>
        <v/>
      </c>
      <c r="E68" s="149" t="e">
        <f t="shared" si="2"/>
        <v>#VALUE!</v>
      </c>
      <c r="F68" s="148" t="e">
        <f t="shared" si="3"/>
        <v>#VALUE!</v>
      </c>
      <c r="G68" s="148" t="str">
        <f t="shared" si="4"/>
        <v/>
      </c>
      <c r="H68" s="148" t="str">
        <f t="shared" si="7"/>
        <v/>
      </c>
      <c r="I68" s="148" t="e">
        <f t="shared" si="5"/>
        <v>#VALUE!</v>
      </c>
      <c r="J68" s="148">
        <f>SUM($H$18:$H68)</f>
        <v>0</v>
      </c>
    </row>
    <row r="69" spans="1:10" x14ac:dyDescent="0.2">
      <c r="A69" s="151" t="str">
        <f>IF(Values_Entered,A68+1,"")</f>
        <v/>
      </c>
      <c r="B69" s="150" t="str">
        <f t="shared" si="0"/>
        <v/>
      </c>
      <c r="C69" s="148" t="str">
        <f t="shared" si="6"/>
        <v/>
      </c>
      <c r="D69" s="148" t="str">
        <f t="shared" si="1"/>
        <v/>
      </c>
      <c r="E69" s="149" t="e">
        <f t="shared" si="2"/>
        <v>#VALUE!</v>
      </c>
      <c r="F69" s="148" t="e">
        <f t="shared" si="3"/>
        <v>#VALUE!</v>
      </c>
      <c r="G69" s="148" t="str">
        <f t="shared" si="4"/>
        <v/>
      </c>
      <c r="H69" s="148" t="str">
        <f t="shared" si="7"/>
        <v/>
      </c>
      <c r="I69" s="148" t="e">
        <f t="shared" si="5"/>
        <v>#VALUE!</v>
      </c>
      <c r="J69" s="148">
        <f>SUM($H$18:$H69)</f>
        <v>0</v>
      </c>
    </row>
    <row r="70" spans="1:10" x14ac:dyDescent="0.2">
      <c r="A70" s="151" t="str">
        <f>IF(Values_Entered,A69+1,"")</f>
        <v/>
      </c>
      <c r="B70" s="150" t="str">
        <f t="shared" si="0"/>
        <v/>
      </c>
      <c r="C70" s="148" t="str">
        <f t="shared" si="6"/>
        <v/>
      </c>
      <c r="D70" s="148" t="str">
        <f t="shared" si="1"/>
        <v/>
      </c>
      <c r="E70" s="149" t="e">
        <f t="shared" si="2"/>
        <v>#VALUE!</v>
      </c>
      <c r="F70" s="148" t="e">
        <f t="shared" si="3"/>
        <v>#VALUE!</v>
      </c>
      <c r="G70" s="148" t="str">
        <f t="shared" si="4"/>
        <v/>
      </c>
      <c r="H70" s="148" t="str">
        <f t="shared" si="7"/>
        <v/>
      </c>
      <c r="I70" s="148" t="e">
        <f t="shared" si="5"/>
        <v>#VALUE!</v>
      </c>
      <c r="J70" s="148">
        <f>SUM($H$18:$H70)</f>
        <v>0</v>
      </c>
    </row>
    <row r="71" spans="1:10" x14ac:dyDescent="0.2">
      <c r="A71" s="151" t="str">
        <f>IF(Values_Entered,A70+1,"")</f>
        <v/>
      </c>
      <c r="B71" s="150" t="str">
        <f t="shared" si="0"/>
        <v/>
      </c>
      <c r="C71" s="148" t="str">
        <f t="shared" si="6"/>
        <v/>
      </c>
      <c r="D71" s="148" t="str">
        <f t="shared" si="1"/>
        <v/>
      </c>
      <c r="E71" s="149" t="e">
        <f t="shared" si="2"/>
        <v>#VALUE!</v>
      </c>
      <c r="F71" s="148" t="e">
        <f t="shared" si="3"/>
        <v>#VALUE!</v>
      </c>
      <c r="G71" s="148" t="str">
        <f t="shared" si="4"/>
        <v/>
      </c>
      <c r="H71" s="148" t="str">
        <f t="shared" si="7"/>
        <v/>
      </c>
      <c r="I71" s="148" t="e">
        <f t="shared" si="5"/>
        <v>#VALUE!</v>
      </c>
      <c r="J71" s="148">
        <f>SUM($H$18:$H71)</f>
        <v>0</v>
      </c>
    </row>
    <row r="72" spans="1:10" x14ac:dyDescent="0.2">
      <c r="A72" s="151" t="str">
        <f>IF(Values_Entered,A71+1,"")</f>
        <v/>
      </c>
      <c r="B72" s="150" t="str">
        <f t="shared" si="0"/>
        <v/>
      </c>
      <c r="C72" s="148" t="str">
        <f t="shared" si="6"/>
        <v/>
      </c>
      <c r="D72" s="148" t="str">
        <f t="shared" si="1"/>
        <v/>
      </c>
      <c r="E72" s="149" t="e">
        <f t="shared" si="2"/>
        <v>#VALUE!</v>
      </c>
      <c r="F72" s="148" t="e">
        <f t="shared" si="3"/>
        <v>#VALUE!</v>
      </c>
      <c r="G72" s="148" t="str">
        <f t="shared" si="4"/>
        <v/>
      </c>
      <c r="H72" s="148" t="str">
        <f t="shared" si="7"/>
        <v/>
      </c>
      <c r="I72" s="148" t="e">
        <f t="shared" si="5"/>
        <v>#VALUE!</v>
      </c>
      <c r="J72" s="148">
        <f>SUM($H$18:$H72)</f>
        <v>0</v>
      </c>
    </row>
    <row r="73" spans="1:10" x14ac:dyDescent="0.2">
      <c r="A73" s="151" t="str">
        <f>IF(Values_Entered,A72+1,"")</f>
        <v/>
      </c>
      <c r="B73" s="150" t="str">
        <f t="shared" si="0"/>
        <v/>
      </c>
      <c r="C73" s="148" t="str">
        <f t="shared" si="6"/>
        <v/>
      </c>
      <c r="D73" s="148" t="str">
        <f t="shared" si="1"/>
        <v/>
      </c>
      <c r="E73" s="149" t="e">
        <f t="shared" si="2"/>
        <v>#VALUE!</v>
      </c>
      <c r="F73" s="148" t="e">
        <f t="shared" si="3"/>
        <v>#VALUE!</v>
      </c>
      <c r="G73" s="148" t="str">
        <f t="shared" si="4"/>
        <v/>
      </c>
      <c r="H73" s="148" t="str">
        <f t="shared" si="7"/>
        <v/>
      </c>
      <c r="I73" s="148" t="e">
        <f t="shared" si="5"/>
        <v>#VALUE!</v>
      </c>
      <c r="J73" s="148">
        <f>SUM($H$18:$H73)</f>
        <v>0</v>
      </c>
    </row>
    <row r="74" spans="1:10" x14ac:dyDescent="0.2">
      <c r="A74" s="151" t="str">
        <f>IF(Values_Entered,A73+1,"")</f>
        <v/>
      </c>
      <c r="B74" s="150" t="str">
        <f t="shared" si="0"/>
        <v/>
      </c>
      <c r="C74" s="148" t="str">
        <f t="shared" si="6"/>
        <v/>
      </c>
      <c r="D74" s="148" t="str">
        <f t="shared" si="1"/>
        <v/>
      </c>
      <c r="E74" s="149" t="e">
        <f t="shared" si="2"/>
        <v>#VALUE!</v>
      </c>
      <c r="F74" s="148" t="e">
        <f t="shared" si="3"/>
        <v>#VALUE!</v>
      </c>
      <c r="G74" s="148" t="str">
        <f t="shared" si="4"/>
        <v/>
      </c>
      <c r="H74" s="148" t="str">
        <f t="shared" si="7"/>
        <v/>
      </c>
      <c r="I74" s="148" t="e">
        <f t="shared" si="5"/>
        <v>#VALUE!</v>
      </c>
      <c r="J74" s="148">
        <f>SUM($H$18:$H74)</f>
        <v>0</v>
      </c>
    </row>
    <row r="75" spans="1:10" x14ac:dyDescent="0.2">
      <c r="A75" s="151" t="str">
        <f>IF(Values_Entered,A74+1,"")</f>
        <v/>
      </c>
      <c r="B75" s="150" t="str">
        <f t="shared" si="0"/>
        <v/>
      </c>
      <c r="C75" s="148" t="str">
        <f t="shared" si="6"/>
        <v/>
      </c>
      <c r="D75" s="148" t="str">
        <f t="shared" si="1"/>
        <v/>
      </c>
      <c r="E75" s="149" t="e">
        <f t="shared" si="2"/>
        <v>#VALUE!</v>
      </c>
      <c r="F75" s="148" t="e">
        <f t="shared" si="3"/>
        <v>#VALUE!</v>
      </c>
      <c r="G75" s="148" t="str">
        <f t="shared" si="4"/>
        <v/>
      </c>
      <c r="H75" s="148" t="str">
        <f t="shared" si="7"/>
        <v/>
      </c>
      <c r="I75" s="148" t="e">
        <f t="shared" si="5"/>
        <v>#VALUE!</v>
      </c>
      <c r="J75" s="148">
        <f>SUM($H$18:$H75)</f>
        <v>0</v>
      </c>
    </row>
    <row r="76" spans="1:10" x14ac:dyDescent="0.2">
      <c r="A76" s="151" t="str">
        <f>IF(Values_Entered,A75+1,"")</f>
        <v/>
      </c>
      <c r="B76" s="150" t="str">
        <f t="shared" si="0"/>
        <v/>
      </c>
      <c r="C76" s="148" t="str">
        <f t="shared" si="6"/>
        <v/>
      </c>
      <c r="D76" s="148" t="str">
        <f t="shared" si="1"/>
        <v/>
      </c>
      <c r="E76" s="149" t="e">
        <f t="shared" si="2"/>
        <v>#VALUE!</v>
      </c>
      <c r="F76" s="148" t="e">
        <f t="shared" si="3"/>
        <v>#VALUE!</v>
      </c>
      <c r="G76" s="148" t="str">
        <f t="shared" si="4"/>
        <v/>
      </c>
      <c r="H76" s="148" t="str">
        <f t="shared" si="7"/>
        <v/>
      </c>
      <c r="I76" s="148" t="e">
        <f t="shared" si="5"/>
        <v>#VALUE!</v>
      </c>
      <c r="J76" s="148">
        <f>SUM($H$18:$H76)</f>
        <v>0</v>
      </c>
    </row>
    <row r="77" spans="1:10" x14ac:dyDescent="0.2">
      <c r="A77" s="151" t="str">
        <f>IF(Values_Entered,A76+1,"")</f>
        <v/>
      </c>
      <c r="B77" s="150" t="str">
        <f t="shared" si="0"/>
        <v/>
      </c>
      <c r="C77" s="148" t="str">
        <f t="shared" si="6"/>
        <v/>
      </c>
      <c r="D77" s="148" t="str">
        <f t="shared" si="1"/>
        <v/>
      </c>
      <c r="E77" s="149" t="e">
        <f t="shared" si="2"/>
        <v>#VALUE!</v>
      </c>
      <c r="F77" s="148" t="e">
        <f t="shared" si="3"/>
        <v>#VALUE!</v>
      </c>
      <c r="G77" s="148" t="str">
        <f t="shared" si="4"/>
        <v/>
      </c>
      <c r="H77" s="148" t="str">
        <f t="shared" si="7"/>
        <v/>
      </c>
      <c r="I77" s="148" t="e">
        <f t="shared" si="5"/>
        <v>#VALUE!</v>
      </c>
      <c r="J77" s="148">
        <f>SUM($H$18:$H77)</f>
        <v>0</v>
      </c>
    </row>
    <row r="78" spans="1:10" x14ac:dyDescent="0.2">
      <c r="A78" s="151" t="str">
        <f>IF(Values_Entered,A77+1,"")</f>
        <v/>
      </c>
      <c r="B78" s="150" t="str">
        <f t="shared" si="0"/>
        <v/>
      </c>
      <c r="C78" s="148" t="str">
        <f t="shared" si="6"/>
        <v/>
      </c>
      <c r="D78" s="148" t="str">
        <f t="shared" si="1"/>
        <v/>
      </c>
      <c r="E78" s="149" t="e">
        <f t="shared" si="2"/>
        <v>#VALUE!</v>
      </c>
      <c r="F78" s="148" t="e">
        <f t="shared" si="3"/>
        <v>#VALUE!</v>
      </c>
      <c r="G78" s="148" t="str">
        <f t="shared" si="4"/>
        <v/>
      </c>
      <c r="H78" s="148" t="str">
        <f t="shared" si="7"/>
        <v/>
      </c>
      <c r="I78" s="148" t="e">
        <f t="shared" si="5"/>
        <v>#VALUE!</v>
      </c>
      <c r="J78" s="148">
        <f>SUM($H$18:$H78)</f>
        <v>0</v>
      </c>
    </row>
    <row r="79" spans="1:10" x14ac:dyDescent="0.2">
      <c r="A79" s="151" t="str">
        <f>IF(Values_Entered,A78+1,"")</f>
        <v/>
      </c>
      <c r="B79" s="150" t="str">
        <f t="shared" si="0"/>
        <v/>
      </c>
      <c r="C79" s="148" t="str">
        <f t="shared" si="6"/>
        <v/>
      </c>
      <c r="D79" s="148" t="str">
        <f t="shared" si="1"/>
        <v/>
      </c>
      <c r="E79" s="149" t="e">
        <f t="shared" si="2"/>
        <v>#VALUE!</v>
      </c>
      <c r="F79" s="148" t="e">
        <f t="shared" si="3"/>
        <v>#VALUE!</v>
      </c>
      <c r="G79" s="148" t="str">
        <f t="shared" si="4"/>
        <v/>
      </c>
      <c r="H79" s="148" t="str">
        <f t="shared" si="7"/>
        <v/>
      </c>
      <c r="I79" s="148" t="e">
        <f t="shared" si="5"/>
        <v>#VALUE!</v>
      </c>
      <c r="J79" s="148">
        <f>SUM($H$18:$H79)</f>
        <v>0</v>
      </c>
    </row>
    <row r="80" spans="1:10" x14ac:dyDescent="0.2">
      <c r="A80" s="151" t="str">
        <f>IF(Values_Entered,A79+1,"")</f>
        <v/>
      </c>
      <c r="B80" s="150" t="str">
        <f t="shared" si="0"/>
        <v/>
      </c>
      <c r="C80" s="148" t="str">
        <f t="shared" si="6"/>
        <v/>
      </c>
      <c r="D80" s="148" t="str">
        <f t="shared" si="1"/>
        <v/>
      </c>
      <c r="E80" s="149" t="e">
        <f t="shared" si="2"/>
        <v>#VALUE!</v>
      </c>
      <c r="F80" s="148" t="e">
        <f t="shared" si="3"/>
        <v>#VALUE!</v>
      </c>
      <c r="G80" s="148" t="str">
        <f t="shared" si="4"/>
        <v/>
      </c>
      <c r="H80" s="148" t="str">
        <f t="shared" si="7"/>
        <v/>
      </c>
      <c r="I80" s="148" t="e">
        <f t="shared" si="5"/>
        <v>#VALUE!</v>
      </c>
      <c r="J80" s="148">
        <f>SUM($H$18:$H80)</f>
        <v>0</v>
      </c>
    </row>
    <row r="81" spans="1:10" x14ac:dyDescent="0.2">
      <c r="A81" s="151" t="str">
        <f>IF(Values_Entered,A80+1,"")</f>
        <v/>
      </c>
      <c r="B81" s="150" t="str">
        <f t="shared" si="0"/>
        <v/>
      </c>
      <c r="C81" s="148" t="str">
        <f t="shared" si="6"/>
        <v/>
      </c>
      <c r="D81" s="148" t="str">
        <f t="shared" si="1"/>
        <v/>
      </c>
      <c r="E81" s="149" t="e">
        <f t="shared" si="2"/>
        <v>#VALUE!</v>
      </c>
      <c r="F81" s="148" t="e">
        <f t="shared" si="3"/>
        <v>#VALUE!</v>
      </c>
      <c r="G81" s="148" t="str">
        <f t="shared" si="4"/>
        <v/>
      </c>
      <c r="H81" s="148" t="str">
        <f t="shared" si="7"/>
        <v/>
      </c>
      <c r="I81" s="148" t="e">
        <f t="shared" si="5"/>
        <v>#VALUE!</v>
      </c>
      <c r="J81" s="148">
        <f>SUM($H$18:$H81)</f>
        <v>0</v>
      </c>
    </row>
    <row r="82" spans="1:10" x14ac:dyDescent="0.2">
      <c r="A82" s="151" t="str">
        <f>IF(Values_Entered,A81+1,"")</f>
        <v/>
      </c>
      <c r="B82" s="150" t="str">
        <f t="shared" ref="B82:B145" si="8">IF(Pay_Num&lt;&gt;"",DATE(YEAR(Loan_Start),MONTH(Loan_Start)+(Pay_Num)*12/Num_Pmt_Per_Year,DAY(Loan_Start)),"")</f>
        <v/>
      </c>
      <c r="C82" s="148" t="str">
        <f t="shared" si="6"/>
        <v/>
      </c>
      <c r="D82" s="148" t="str">
        <f t="shared" ref="D82:D145" si="9">IF(Pay_Num&lt;&gt;"",Scheduled_Monthly_Payment,"")</f>
        <v/>
      </c>
      <c r="E82" s="149" t="e">
        <f t="shared" ref="E82:E145" si="10">IF(AND(Pay_Num&lt;&gt;"",Sched_Pay+Scheduled_Extra_Payments&lt;Beg_Bal),Scheduled_Extra_Payments,IF(AND(Pay_Num&lt;&gt;"",Beg_Bal-Sched_Pay&gt;0),Beg_Bal-Sched_Pay,IF(Pay_Num&lt;&gt;"",0,"")))</f>
        <v>#VALUE!</v>
      </c>
      <c r="F82" s="148" t="e">
        <f t="shared" ref="F82:F145" si="11">IF(AND(Pay_Num&lt;&gt;"",Sched_Pay+Extra_Pay&lt;Beg_Bal),Sched_Pay+Extra_Pay,IF(Pay_Num&lt;&gt;"",Beg_Bal,""))</f>
        <v>#VALUE!</v>
      </c>
      <c r="G82" s="148" t="str">
        <f t="shared" ref="G82:G145" si="12">IF(Pay_Num&lt;&gt;"",Total_Pay-Int,"")</f>
        <v/>
      </c>
      <c r="H82" s="148" t="str">
        <f t="shared" si="7"/>
        <v/>
      </c>
      <c r="I82" s="148" t="e">
        <f t="shared" ref="I82:I145" si="13">IF(AND(Pay_Num&lt;&gt;"",Sched_Pay+Extra_Pay&lt;Beg_Bal),Beg_Bal-Princ,IF(Pay_Num&lt;&gt;"",0,""))</f>
        <v>#VALUE!</v>
      </c>
      <c r="J82" s="148">
        <f>SUM($H$18:$H82)</f>
        <v>0</v>
      </c>
    </row>
    <row r="83" spans="1:10" x14ac:dyDescent="0.2">
      <c r="A83" s="151" t="str">
        <f>IF(Values_Entered,A82+1,"")</f>
        <v/>
      </c>
      <c r="B83" s="150" t="str">
        <f t="shared" si="8"/>
        <v/>
      </c>
      <c r="C83" s="148" t="str">
        <f t="shared" ref="C83:C146" si="14">IF(Pay_Num&lt;&gt;"",I82,"")</f>
        <v/>
      </c>
      <c r="D83" s="148" t="str">
        <f t="shared" si="9"/>
        <v/>
      </c>
      <c r="E83" s="149" t="e">
        <f t="shared" si="10"/>
        <v>#VALUE!</v>
      </c>
      <c r="F83" s="148" t="e">
        <f t="shared" si="11"/>
        <v>#VALUE!</v>
      </c>
      <c r="G83" s="148" t="str">
        <f t="shared" si="12"/>
        <v/>
      </c>
      <c r="H83" s="148" t="str">
        <f t="shared" ref="H83:H146" si="15">IF(Pay_Num&lt;&gt;"",Beg_Bal*Interest_Rate/Num_Pmt_Per_Year,"")</f>
        <v/>
      </c>
      <c r="I83" s="148" t="e">
        <f t="shared" si="13"/>
        <v>#VALUE!</v>
      </c>
      <c r="J83" s="148">
        <f>SUM($H$18:$H83)</f>
        <v>0</v>
      </c>
    </row>
    <row r="84" spans="1:10" x14ac:dyDescent="0.2">
      <c r="A84" s="151" t="str">
        <f>IF(Values_Entered,A83+1,"")</f>
        <v/>
      </c>
      <c r="B84" s="150" t="str">
        <f t="shared" si="8"/>
        <v/>
      </c>
      <c r="C84" s="148" t="str">
        <f t="shared" si="14"/>
        <v/>
      </c>
      <c r="D84" s="148" t="str">
        <f t="shared" si="9"/>
        <v/>
      </c>
      <c r="E84" s="149" t="e">
        <f t="shared" si="10"/>
        <v>#VALUE!</v>
      </c>
      <c r="F84" s="148" t="e">
        <f t="shared" si="11"/>
        <v>#VALUE!</v>
      </c>
      <c r="G84" s="148" t="str">
        <f t="shared" si="12"/>
        <v/>
      </c>
      <c r="H84" s="148" t="str">
        <f t="shared" si="15"/>
        <v/>
      </c>
      <c r="I84" s="148" t="e">
        <f t="shared" si="13"/>
        <v>#VALUE!</v>
      </c>
      <c r="J84" s="148">
        <f>SUM($H$18:$H84)</f>
        <v>0</v>
      </c>
    </row>
    <row r="85" spans="1:10" x14ac:dyDescent="0.2">
      <c r="A85" s="151" t="str">
        <f>IF(Values_Entered,A84+1,"")</f>
        <v/>
      </c>
      <c r="B85" s="150" t="str">
        <f t="shared" si="8"/>
        <v/>
      </c>
      <c r="C85" s="148" t="str">
        <f t="shared" si="14"/>
        <v/>
      </c>
      <c r="D85" s="148" t="str">
        <f t="shared" si="9"/>
        <v/>
      </c>
      <c r="E85" s="149" t="e">
        <f t="shared" si="10"/>
        <v>#VALUE!</v>
      </c>
      <c r="F85" s="148" t="e">
        <f t="shared" si="11"/>
        <v>#VALUE!</v>
      </c>
      <c r="G85" s="148" t="str">
        <f t="shared" si="12"/>
        <v/>
      </c>
      <c r="H85" s="148" t="str">
        <f t="shared" si="15"/>
        <v/>
      </c>
      <c r="I85" s="148" t="e">
        <f t="shared" si="13"/>
        <v>#VALUE!</v>
      </c>
      <c r="J85" s="148">
        <f>SUM($H$18:$H85)</f>
        <v>0</v>
      </c>
    </row>
    <row r="86" spans="1:10" x14ac:dyDescent="0.2">
      <c r="A86" s="151" t="str">
        <f>IF(Values_Entered,A85+1,"")</f>
        <v/>
      </c>
      <c r="B86" s="150" t="str">
        <f t="shared" si="8"/>
        <v/>
      </c>
      <c r="C86" s="148" t="str">
        <f t="shared" si="14"/>
        <v/>
      </c>
      <c r="D86" s="148" t="str">
        <f t="shared" si="9"/>
        <v/>
      </c>
      <c r="E86" s="149" t="e">
        <f t="shared" si="10"/>
        <v>#VALUE!</v>
      </c>
      <c r="F86" s="148" t="e">
        <f t="shared" si="11"/>
        <v>#VALUE!</v>
      </c>
      <c r="G86" s="148" t="str">
        <f t="shared" si="12"/>
        <v/>
      </c>
      <c r="H86" s="148" t="str">
        <f t="shared" si="15"/>
        <v/>
      </c>
      <c r="I86" s="148" t="e">
        <f t="shared" si="13"/>
        <v>#VALUE!</v>
      </c>
      <c r="J86" s="148">
        <f>SUM($H$18:$H86)</f>
        <v>0</v>
      </c>
    </row>
    <row r="87" spans="1:10" x14ac:dyDescent="0.2">
      <c r="A87" s="151" t="str">
        <f>IF(Values_Entered,A86+1,"")</f>
        <v/>
      </c>
      <c r="B87" s="150" t="str">
        <f t="shared" si="8"/>
        <v/>
      </c>
      <c r="C87" s="148" t="str">
        <f t="shared" si="14"/>
        <v/>
      </c>
      <c r="D87" s="148" t="str">
        <f t="shared" si="9"/>
        <v/>
      </c>
      <c r="E87" s="149" t="e">
        <f t="shared" si="10"/>
        <v>#VALUE!</v>
      </c>
      <c r="F87" s="148" t="e">
        <f t="shared" si="11"/>
        <v>#VALUE!</v>
      </c>
      <c r="G87" s="148" t="str">
        <f t="shared" si="12"/>
        <v/>
      </c>
      <c r="H87" s="148" t="str">
        <f t="shared" si="15"/>
        <v/>
      </c>
      <c r="I87" s="148" t="e">
        <f t="shared" si="13"/>
        <v>#VALUE!</v>
      </c>
      <c r="J87" s="148">
        <f>SUM($H$18:$H87)</f>
        <v>0</v>
      </c>
    </row>
    <row r="88" spans="1:10" x14ac:dyDescent="0.2">
      <c r="A88" s="151" t="str">
        <f>IF(Values_Entered,A87+1,"")</f>
        <v/>
      </c>
      <c r="B88" s="150" t="str">
        <f t="shared" si="8"/>
        <v/>
      </c>
      <c r="C88" s="148" t="str">
        <f t="shared" si="14"/>
        <v/>
      </c>
      <c r="D88" s="148" t="str">
        <f t="shared" si="9"/>
        <v/>
      </c>
      <c r="E88" s="149" t="e">
        <f t="shared" si="10"/>
        <v>#VALUE!</v>
      </c>
      <c r="F88" s="148" t="e">
        <f t="shared" si="11"/>
        <v>#VALUE!</v>
      </c>
      <c r="G88" s="148" t="str">
        <f t="shared" si="12"/>
        <v/>
      </c>
      <c r="H88" s="148" t="str">
        <f t="shared" si="15"/>
        <v/>
      </c>
      <c r="I88" s="148" t="e">
        <f t="shared" si="13"/>
        <v>#VALUE!</v>
      </c>
      <c r="J88" s="148">
        <f>SUM($H$18:$H88)</f>
        <v>0</v>
      </c>
    </row>
    <row r="89" spans="1:10" x14ac:dyDescent="0.2">
      <c r="A89" s="151" t="str">
        <f>IF(Values_Entered,A88+1,"")</f>
        <v/>
      </c>
      <c r="B89" s="150" t="str">
        <f t="shared" si="8"/>
        <v/>
      </c>
      <c r="C89" s="148" t="str">
        <f t="shared" si="14"/>
        <v/>
      </c>
      <c r="D89" s="148" t="str">
        <f t="shared" si="9"/>
        <v/>
      </c>
      <c r="E89" s="149" t="e">
        <f t="shared" si="10"/>
        <v>#VALUE!</v>
      </c>
      <c r="F89" s="148" t="e">
        <f t="shared" si="11"/>
        <v>#VALUE!</v>
      </c>
      <c r="G89" s="148" t="str">
        <f t="shared" si="12"/>
        <v/>
      </c>
      <c r="H89" s="148" t="str">
        <f t="shared" si="15"/>
        <v/>
      </c>
      <c r="I89" s="148" t="e">
        <f t="shared" si="13"/>
        <v>#VALUE!</v>
      </c>
      <c r="J89" s="148">
        <f>SUM($H$18:$H89)</f>
        <v>0</v>
      </c>
    </row>
    <row r="90" spans="1:10" x14ac:dyDescent="0.2">
      <c r="A90" s="151" t="str">
        <f>IF(Values_Entered,A89+1,"")</f>
        <v/>
      </c>
      <c r="B90" s="150" t="str">
        <f t="shared" si="8"/>
        <v/>
      </c>
      <c r="C90" s="148" t="str">
        <f t="shared" si="14"/>
        <v/>
      </c>
      <c r="D90" s="148" t="str">
        <f t="shared" si="9"/>
        <v/>
      </c>
      <c r="E90" s="149" t="e">
        <f t="shared" si="10"/>
        <v>#VALUE!</v>
      </c>
      <c r="F90" s="148" t="e">
        <f t="shared" si="11"/>
        <v>#VALUE!</v>
      </c>
      <c r="G90" s="148" t="str">
        <f t="shared" si="12"/>
        <v/>
      </c>
      <c r="H90" s="148" t="str">
        <f t="shared" si="15"/>
        <v/>
      </c>
      <c r="I90" s="148" t="e">
        <f t="shared" si="13"/>
        <v>#VALUE!</v>
      </c>
      <c r="J90" s="148">
        <f>SUM($H$18:$H90)</f>
        <v>0</v>
      </c>
    </row>
    <row r="91" spans="1:10" x14ac:dyDescent="0.2">
      <c r="A91" s="151" t="str">
        <f>IF(Values_Entered,A90+1,"")</f>
        <v/>
      </c>
      <c r="B91" s="150" t="str">
        <f t="shared" si="8"/>
        <v/>
      </c>
      <c r="C91" s="148" t="str">
        <f t="shared" si="14"/>
        <v/>
      </c>
      <c r="D91" s="148" t="str">
        <f t="shared" si="9"/>
        <v/>
      </c>
      <c r="E91" s="149" t="e">
        <f t="shared" si="10"/>
        <v>#VALUE!</v>
      </c>
      <c r="F91" s="148" t="e">
        <f t="shared" si="11"/>
        <v>#VALUE!</v>
      </c>
      <c r="G91" s="148" t="str">
        <f t="shared" si="12"/>
        <v/>
      </c>
      <c r="H91" s="148" t="str">
        <f t="shared" si="15"/>
        <v/>
      </c>
      <c r="I91" s="148" t="e">
        <f t="shared" si="13"/>
        <v>#VALUE!</v>
      </c>
      <c r="J91" s="148">
        <f>SUM($H$18:$H91)</f>
        <v>0</v>
      </c>
    </row>
    <row r="92" spans="1:10" x14ac:dyDescent="0.2">
      <c r="A92" s="151" t="str">
        <f>IF(Values_Entered,A91+1,"")</f>
        <v/>
      </c>
      <c r="B92" s="150" t="str">
        <f t="shared" si="8"/>
        <v/>
      </c>
      <c r="C92" s="148" t="str">
        <f t="shared" si="14"/>
        <v/>
      </c>
      <c r="D92" s="148" t="str">
        <f t="shared" si="9"/>
        <v/>
      </c>
      <c r="E92" s="149" t="e">
        <f t="shared" si="10"/>
        <v>#VALUE!</v>
      </c>
      <c r="F92" s="148" t="e">
        <f t="shared" si="11"/>
        <v>#VALUE!</v>
      </c>
      <c r="G92" s="148" t="str">
        <f t="shared" si="12"/>
        <v/>
      </c>
      <c r="H92" s="148" t="str">
        <f t="shared" si="15"/>
        <v/>
      </c>
      <c r="I92" s="148" t="e">
        <f t="shared" si="13"/>
        <v>#VALUE!</v>
      </c>
      <c r="J92" s="148">
        <f>SUM($H$18:$H92)</f>
        <v>0</v>
      </c>
    </row>
    <row r="93" spans="1:10" x14ac:dyDescent="0.2">
      <c r="A93" s="151" t="str">
        <f>IF(Values_Entered,A92+1,"")</f>
        <v/>
      </c>
      <c r="B93" s="150" t="str">
        <f t="shared" si="8"/>
        <v/>
      </c>
      <c r="C93" s="148" t="str">
        <f t="shared" si="14"/>
        <v/>
      </c>
      <c r="D93" s="148" t="str">
        <f t="shared" si="9"/>
        <v/>
      </c>
      <c r="E93" s="149" t="e">
        <f t="shared" si="10"/>
        <v>#VALUE!</v>
      </c>
      <c r="F93" s="148" t="e">
        <f t="shared" si="11"/>
        <v>#VALUE!</v>
      </c>
      <c r="G93" s="148" t="str">
        <f t="shared" si="12"/>
        <v/>
      </c>
      <c r="H93" s="148" t="str">
        <f t="shared" si="15"/>
        <v/>
      </c>
      <c r="I93" s="148" t="e">
        <f t="shared" si="13"/>
        <v>#VALUE!</v>
      </c>
      <c r="J93" s="148">
        <f>SUM($H$18:$H93)</f>
        <v>0</v>
      </c>
    </row>
    <row r="94" spans="1:10" x14ac:dyDescent="0.2">
      <c r="A94" s="151" t="str">
        <f>IF(Values_Entered,A93+1,"")</f>
        <v/>
      </c>
      <c r="B94" s="150" t="str">
        <f t="shared" si="8"/>
        <v/>
      </c>
      <c r="C94" s="148" t="str">
        <f t="shared" si="14"/>
        <v/>
      </c>
      <c r="D94" s="148" t="str">
        <f t="shared" si="9"/>
        <v/>
      </c>
      <c r="E94" s="149" t="e">
        <f t="shared" si="10"/>
        <v>#VALUE!</v>
      </c>
      <c r="F94" s="148" t="e">
        <f t="shared" si="11"/>
        <v>#VALUE!</v>
      </c>
      <c r="G94" s="148" t="str">
        <f t="shared" si="12"/>
        <v/>
      </c>
      <c r="H94" s="148" t="str">
        <f t="shared" si="15"/>
        <v/>
      </c>
      <c r="I94" s="148" t="e">
        <f t="shared" si="13"/>
        <v>#VALUE!</v>
      </c>
      <c r="J94" s="148">
        <f>SUM($H$18:$H94)</f>
        <v>0</v>
      </c>
    </row>
    <row r="95" spans="1:10" x14ac:dyDescent="0.2">
      <c r="A95" s="151" t="str">
        <f>IF(Values_Entered,A94+1,"")</f>
        <v/>
      </c>
      <c r="B95" s="150" t="str">
        <f t="shared" si="8"/>
        <v/>
      </c>
      <c r="C95" s="148" t="str">
        <f t="shared" si="14"/>
        <v/>
      </c>
      <c r="D95" s="148" t="str">
        <f t="shared" si="9"/>
        <v/>
      </c>
      <c r="E95" s="149" t="e">
        <f t="shared" si="10"/>
        <v>#VALUE!</v>
      </c>
      <c r="F95" s="148" t="e">
        <f t="shared" si="11"/>
        <v>#VALUE!</v>
      </c>
      <c r="G95" s="148" t="str">
        <f t="shared" si="12"/>
        <v/>
      </c>
      <c r="H95" s="148" t="str">
        <f t="shared" si="15"/>
        <v/>
      </c>
      <c r="I95" s="148" t="e">
        <f t="shared" si="13"/>
        <v>#VALUE!</v>
      </c>
      <c r="J95" s="148">
        <f>SUM($H$18:$H95)</f>
        <v>0</v>
      </c>
    </row>
    <row r="96" spans="1:10" x14ac:dyDescent="0.2">
      <c r="A96" s="151" t="str">
        <f>IF(Values_Entered,A95+1,"")</f>
        <v/>
      </c>
      <c r="B96" s="150" t="str">
        <f t="shared" si="8"/>
        <v/>
      </c>
      <c r="C96" s="148" t="str">
        <f t="shared" si="14"/>
        <v/>
      </c>
      <c r="D96" s="148" t="str">
        <f t="shared" si="9"/>
        <v/>
      </c>
      <c r="E96" s="149" t="e">
        <f t="shared" si="10"/>
        <v>#VALUE!</v>
      </c>
      <c r="F96" s="148" t="e">
        <f t="shared" si="11"/>
        <v>#VALUE!</v>
      </c>
      <c r="G96" s="148" t="str">
        <f t="shared" si="12"/>
        <v/>
      </c>
      <c r="H96" s="148" t="str">
        <f t="shared" si="15"/>
        <v/>
      </c>
      <c r="I96" s="148" t="e">
        <f t="shared" si="13"/>
        <v>#VALUE!</v>
      </c>
      <c r="J96" s="148">
        <f>SUM($H$18:$H96)</f>
        <v>0</v>
      </c>
    </row>
    <row r="97" spans="1:10" x14ac:dyDescent="0.2">
      <c r="A97" s="151" t="str">
        <f>IF(Values_Entered,A96+1,"")</f>
        <v/>
      </c>
      <c r="B97" s="150" t="str">
        <f t="shared" si="8"/>
        <v/>
      </c>
      <c r="C97" s="148" t="str">
        <f t="shared" si="14"/>
        <v/>
      </c>
      <c r="D97" s="148" t="str">
        <f t="shared" si="9"/>
        <v/>
      </c>
      <c r="E97" s="149" t="e">
        <f t="shared" si="10"/>
        <v>#VALUE!</v>
      </c>
      <c r="F97" s="148" t="e">
        <f t="shared" si="11"/>
        <v>#VALUE!</v>
      </c>
      <c r="G97" s="148" t="str">
        <f t="shared" si="12"/>
        <v/>
      </c>
      <c r="H97" s="148" t="str">
        <f t="shared" si="15"/>
        <v/>
      </c>
      <c r="I97" s="148" t="e">
        <f t="shared" si="13"/>
        <v>#VALUE!</v>
      </c>
      <c r="J97" s="148">
        <f>SUM($H$18:$H97)</f>
        <v>0</v>
      </c>
    </row>
    <row r="98" spans="1:10" x14ac:dyDescent="0.2">
      <c r="A98" s="151" t="str">
        <f>IF(Values_Entered,A97+1,"")</f>
        <v/>
      </c>
      <c r="B98" s="150" t="str">
        <f t="shared" si="8"/>
        <v/>
      </c>
      <c r="C98" s="148" t="str">
        <f t="shared" si="14"/>
        <v/>
      </c>
      <c r="D98" s="148" t="str">
        <f t="shared" si="9"/>
        <v/>
      </c>
      <c r="E98" s="149" t="e">
        <f t="shared" si="10"/>
        <v>#VALUE!</v>
      </c>
      <c r="F98" s="148" t="e">
        <f t="shared" si="11"/>
        <v>#VALUE!</v>
      </c>
      <c r="G98" s="148" t="str">
        <f t="shared" si="12"/>
        <v/>
      </c>
      <c r="H98" s="148" t="str">
        <f t="shared" si="15"/>
        <v/>
      </c>
      <c r="I98" s="148" t="e">
        <f t="shared" si="13"/>
        <v>#VALUE!</v>
      </c>
      <c r="J98" s="148">
        <f>SUM($H$18:$H98)</f>
        <v>0</v>
      </c>
    </row>
    <row r="99" spans="1:10" x14ac:dyDescent="0.2">
      <c r="A99" s="151" t="str">
        <f>IF(Values_Entered,A98+1,"")</f>
        <v/>
      </c>
      <c r="B99" s="150" t="str">
        <f t="shared" si="8"/>
        <v/>
      </c>
      <c r="C99" s="148" t="str">
        <f t="shared" si="14"/>
        <v/>
      </c>
      <c r="D99" s="148" t="str">
        <f t="shared" si="9"/>
        <v/>
      </c>
      <c r="E99" s="149" t="e">
        <f t="shared" si="10"/>
        <v>#VALUE!</v>
      </c>
      <c r="F99" s="148" t="e">
        <f t="shared" si="11"/>
        <v>#VALUE!</v>
      </c>
      <c r="G99" s="148" t="str">
        <f t="shared" si="12"/>
        <v/>
      </c>
      <c r="H99" s="148" t="str">
        <f t="shared" si="15"/>
        <v/>
      </c>
      <c r="I99" s="148" t="e">
        <f t="shared" si="13"/>
        <v>#VALUE!</v>
      </c>
      <c r="J99" s="148">
        <f>SUM($H$18:$H99)</f>
        <v>0</v>
      </c>
    </row>
    <row r="100" spans="1:10" x14ac:dyDescent="0.2">
      <c r="A100" s="151" t="str">
        <f>IF(Values_Entered,A99+1,"")</f>
        <v/>
      </c>
      <c r="B100" s="150" t="str">
        <f t="shared" si="8"/>
        <v/>
      </c>
      <c r="C100" s="148" t="str">
        <f t="shared" si="14"/>
        <v/>
      </c>
      <c r="D100" s="148" t="str">
        <f t="shared" si="9"/>
        <v/>
      </c>
      <c r="E100" s="149" t="e">
        <f t="shared" si="10"/>
        <v>#VALUE!</v>
      </c>
      <c r="F100" s="148" t="e">
        <f t="shared" si="11"/>
        <v>#VALUE!</v>
      </c>
      <c r="G100" s="148" t="str">
        <f t="shared" si="12"/>
        <v/>
      </c>
      <c r="H100" s="148" t="str">
        <f t="shared" si="15"/>
        <v/>
      </c>
      <c r="I100" s="148" t="e">
        <f t="shared" si="13"/>
        <v>#VALUE!</v>
      </c>
      <c r="J100" s="148">
        <f>SUM($H$18:$H100)</f>
        <v>0</v>
      </c>
    </row>
    <row r="101" spans="1:10" x14ac:dyDescent="0.2">
      <c r="A101" s="151" t="str">
        <f>IF(Values_Entered,A100+1,"")</f>
        <v/>
      </c>
      <c r="B101" s="150" t="str">
        <f t="shared" si="8"/>
        <v/>
      </c>
      <c r="C101" s="148" t="str">
        <f t="shared" si="14"/>
        <v/>
      </c>
      <c r="D101" s="148" t="str">
        <f t="shared" si="9"/>
        <v/>
      </c>
      <c r="E101" s="149" t="e">
        <f t="shared" si="10"/>
        <v>#VALUE!</v>
      </c>
      <c r="F101" s="148" t="e">
        <f t="shared" si="11"/>
        <v>#VALUE!</v>
      </c>
      <c r="G101" s="148" t="str">
        <f t="shared" si="12"/>
        <v/>
      </c>
      <c r="H101" s="148" t="str">
        <f t="shared" si="15"/>
        <v/>
      </c>
      <c r="I101" s="148" t="e">
        <f t="shared" si="13"/>
        <v>#VALUE!</v>
      </c>
      <c r="J101" s="148">
        <f>SUM($H$18:$H101)</f>
        <v>0</v>
      </c>
    </row>
    <row r="102" spans="1:10" x14ac:dyDescent="0.2">
      <c r="A102" s="151" t="str">
        <f>IF(Values_Entered,A101+1,"")</f>
        <v/>
      </c>
      <c r="B102" s="150" t="str">
        <f t="shared" si="8"/>
        <v/>
      </c>
      <c r="C102" s="148" t="str">
        <f t="shared" si="14"/>
        <v/>
      </c>
      <c r="D102" s="148" t="str">
        <f t="shared" si="9"/>
        <v/>
      </c>
      <c r="E102" s="149" t="e">
        <f t="shared" si="10"/>
        <v>#VALUE!</v>
      </c>
      <c r="F102" s="148" t="e">
        <f t="shared" si="11"/>
        <v>#VALUE!</v>
      </c>
      <c r="G102" s="148" t="str">
        <f t="shared" si="12"/>
        <v/>
      </c>
      <c r="H102" s="148" t="str">
        <f t="shared" si="15"/>
        <v/>
      </c>
      <c r="I102" s="148" t="e">
        <f t="shared" si="13"/>
        <v>#VALUE!</v>
      </c>
      <c r="J102" s="148">
        <f>SUM($H$18:$H102)</f>
        <v>0</v>
      </c>
    </row>
    <row r="103" spans="1:10" x14ac:dyDescent="0.2">
      <c r="A103" s="151" t="str">
        <f>IF(Values_Entered,A102+1,"")</f>
        <v/>
      </c>
      <c r="B103" s="150" t="str">
        <f t="shared" si="8"/>
        <v/>
      </c>
      <c r="C103" s="148" t="str">
        <f t="shared" si="14"/>
        <v/>
      </c>
      <c r="D103" s="148" t="str">
        <f t="shared" si="9"/>
        <v/>
      </c>
      <c r="E103" s="149" t="e">
        <f t="shared" si="10"/>
        <v>#VALUE!</v>
      </c>
      <c r="F103" s="148" t="e">
        <f t="shared" si="11"/>
        <v>#VALUE!</v>
      </c>
      <c r="G103" s="148" t="str">
        <f t="shared" si="12"/>
        <v/>
      </c>
      <c r="H103" s="148" t="str">
        <f t="shared" si="15"/>
        <v/>
      </c>
      <c r="I103" s="148" t="e">
        <f t="shared" si="13"/>
        <v>#VALUE!</v>
      </c>
      <c r="J103" s="148">
        <f>SUM($H$18:$H103)</f>
        <v>0</v>
      </c>
    </row>
    <row r="104" spans="1:10" x14ac:dyDescent="0.2">
      <c r="A104" s="151" t="str">
        <f>IF(Values_Entered,A103+1,"")</f>
        <v/>
      </c>
      <c r="B104" s="150" t="str">
        <f t="shared" si="8"/>
        <v/>
      </c>
      <c r="C104" s="148" t="str">
        <f t="shared" si="14"/>
        <v/>
      </c>
      <c r="D104" s="148" t="str">
        <f t="shared" si="9"/>
        <v/>
      </c>
      <c r="E104" s="149" t="e">
        <f t="shared" si="10"/>
        <v>#VALUE!</v>
      </c>
      <c r="F104" s="148" t="e">
        <f t="shared" si="11"/>
        <v>#VALUE!</v>
      </c>
      <c r="G104" s="148" t="str">
        <f t="shared" si="12"/>
        <v/>
      </c>
      <c r="H104" s="148" t="str">
        <f t="shared" si="15"/>
        <v/>
      </c>
      <c r="I104" s="148" t="e">
        <f t="shared" si="13"/>
        <v>#VALUE!</v>
      </c>
      <c r="J104" s="148">
        <f>SUM($H$18:$H104)</f>
        <v>0</v>
      </c>
    </row>
    <row r="105" spans="1:10" x14ac:dyDescent="0.2">
      <c r="A105" s="151" t="str">
        <f>IF(Values_Entered,A104+1,"")</f>
        <v/>
      </c>
      <c r="B105" s="150" t="str">
        <f t="shared" si="8"/>
        <v/>
      </c>
      <c r="C105" s="148" t="str">
        <f t="shared" si="14"/>
        <v/>
      </c>
      <c r="D105" s="148" t="str">
        <f t="shared" si="9"/>
        <v/>
      </c>
      <c r="E105" s="149" t="e">
        <f t="shared" si="10"/>
        <v>#VALUE!</v>
      </c>
      <c r="F105" s="148" t="e">
        <f t="shared" si="11"/>
        <v>#VALUE!</v>
      </c>
      <c r="G105" s="148" t="str">
        <f t="shared" si="12"/>
        <v/>
      </c>
      <c r="H105" s="148" t="str">
        <f t="shared" si="15"/>
        <v/>
      </c>
      <c r="I105" s="148" t="e">
        <f t="shared" si="13"/>
        <v>#VALUE!</v>
      </c>
      <c r="J105" s="148">
        <f>SUM($H$18:$H105)</f>
        <v>0</v>
      </c>
    </row>
    <row r="106" spans="1:10" x14ac:dyDescent="0.2">
      <c r="A106" s="151" t="str">
        <f>IF(Values_Entered,A105+1,"")</f>
        <v/>
      </c>
      <c r="B106" s="150" t="str">
        <f t="shared" si="8"/>
        <v/>
      </c>
      <c r="C106" s="148" t="str">
        <f t="shared" si="14"/>
        <v/>
      </c>
      <c r="D106" s="148" t="str">
        <f t="shared" si="9"/>
        <v/>
      </c>
      <c r="E106" s="149" t="e">
        <f t="shared" si="10"/>
        <v>#VALUE!</v>
      </c>
      <c r="F106" s="148" t="e">
        <f t="shared" si="11"/>
        <v>#VALUE!</v>
      </c>
      <c r="G106" s="148" t="str">
        <f t="shared" si="12"/>
        <v/>
      </c>
      <c r="H106" s="148" t="str">
        <f t="shared" si="15"/>
        <v/>
      </c>
      <c r="I106" s="148" t="e">
        <f t="shared" si="13"/>
        <v>#VALUE!</v>
      </c>
      <c r="J106" s="148">
        <f>SUM($H$18:$H106)</f>
        <v>0</v>
      </c>
    </row>
    <row r="107" spans="1:10" x14ac:dyDescent="0.2">
      <c r="A107" s="151" t="str">
        <f>IF(Values_Entered,A106+1,"")</f>
        <v/>
      </c>
      <c r="B107" s="150" t="str">
        <f t="shared" si="8"/>
        <v/>
      </c>
      <c r="C107" s="148" t="str">
        <f t="shared" si="14"/>
        <v/>
      </c>
      <c r="D107" s="148" t="str">
        <f t="shared" si="9"/>
        <v/>
      </c>
      <c r="E107" s="149" t="e">
        <f t="shared" si="10"/>
        <v>#VALUE!</v>
      </c>
      <c r="F107" s="148" t="e">
        <f t="shared" si="11"/>
        <v>#VALUE!</v>
      </c>
      <c r="G107" s="148" t="str">
        <f t="shared" si="12"/>
        <v/>
      </c>
      <c r="H107" s="148" t="str">
        <f t="shared" si="15"/>
        <v/>
      </c>
      <c r="I107" s="148" t="e">
        <f t="shared" si="13"/>
        <v>#VALUE!</v>
      </c>
      <c r="J107" s="148">
        <f>SUM($H$18:$H107)</f>
        <v>0</v>
      </c>
    </row>
    <row r="108" spans="1:10" x14ac:dyDescent="0.2">
      <c r="A108" s="151" t="str">
        <f>IF(Values_Entered,A107+1,"")</f>
        <v/>
      </c>
      <c r="B108" s="150" t="str">
        <f t="shared" si="8"/>
        <v/>
      </c>
      <c r="C108" s="148" t="str">
        <f t="shared" si="14"/>
        <v/>
      </c>
      <c r="D108" s="148" t="str">
        <f t="shared" si="9"/>
        <v/>
      </c>
      <c r="E108" s="149" t="e">
        <f t="shared" si="10"/>
        <v>#VALUE!</v>
      </c>
      <c r="F108" s="148" t="e">
        <f t="shared" si="11"/>
        <v>#VALUE!</v>
      </c>
      <c r="G108" s="148" t="str">
        <f t="shared" si="12"/>
        <v/>
      </c>
      <c r="H108" s="148" t="str">
        <f t="shared" si="15"/>
        <v/>
      </c>
      <c r="I108" s="148" t="e">
        <f t="shared" si="13"/>
        <v>#VALUE!</v>
      </c>
      <c r="J108" s="148">
        <f>SUM($H$18:$H108)</f>
        <v>0</v>
      </c>
    </row>
    <row r="109" spans="1:10" x14ac:dyDescent="0.2">
      <c r="A109" s="151" t="str">
        <f>IF(Values_Entered,A108+1,"")</f>
        <v/>
      </c>
      <c r="B109" s="150" t="str">
        <f t="shared" si="8"/>
        <v/>
      </c>
      <c r="C109" s="148" t="str">
        <f t="shared" si="14"/>
        <v/>
      </c>
      <c r="D109" s="148" t="str">
        <f t="shared" si="9"/>
        <v/>
      </c>
      <c r="E109" s="149" t="e">
        <f t="shared" si="10"/>
        <v>#VALUE!</v>
      </c>
      <c r="F109" s="148" t="e">
        <f t="shared" si="11"/>
        <v>#VALUE!</v>
      </c>
      <c r="G109" s="148" t="str">
        <f t="shared" si="12"/>
        <v/>
      </c>
      <c r="H109" s="148" t="str">
        <f t="shared" si="15"/>
        <v/>
      </c>
      <c r="I109" s="148" t="e">
        <f t="shared" si="13"/>
        <v>#VALUE!</v>
      </c>
      <c r="J109" s="148">
        <f>SUM($H$18:$H109)</f>
        <v>0</v>
      </c>
    </row>
    <row r="110" spans="1:10" x14ac:dyDescent="0.2">
      <c r="A110" s="151" t="str">
        <f>IF(Values_Entered,A109+1,"")</f>
        <v/>
      </c>
      <c r="B110" s="150" t="str">
        <f t="shared" si="8"/>
        <v/>
      </c>
      <c r="C110" s="148" t="str">
        <f t="shared" si="14"/>
        <v/>
      </c>
      <c r="D110" s="148" t="str">
        <f t="shared" si="9"/>
        <v/>
      </c>
      <c r="E110" s="149" t="e">
        <f t="shared" si="10"/>
        <v>#VALUE!</v>
      </c>
      <c r="F110" s="148" t="e">
        <f t="shared" si="11"/>
        <v>#VALUE!</v>
      </c>
      <c r="G110" s="148" t="str">
        <f t="shared" si="12"/>
        <v/>
      </c>
      <c r="H110" s="148" t="str">
        <f t="shared" si="15"/>
        <v/>
      </c>
      <c r="I110" s="148" t="e">
        <f t="shared" si="13"/>
        <v>#VALUE!</v>
      </c>
      <c r="J110" s="148">
        <f>SUM($H$18:$H110)</f>
        <v>0</v>
      </c>
    </row>
    <row r="111" spans="1:10" x14ac:dyDescent="0.2">
      <c r="A111" s="151" t="str">
        <f>IF(Values_Entered,A110+1,"")</f>
        <v/>
      </c>
      <c r="B111" s="150" t="str">
        <f t="shared" si="8"/>
        <v/>
      </c>
      <c r="C111" s="148" t="str">
        <f t="shared" si="14"/>
        <v/>
      </c>
      <c r="D111" s="148" t="str">
        <f t="shared" si="9"/>
        <v/>
      </c>
      <c r="E111" s="149" t="e">
        <f t="shared" si="10"/>
        <v>#VALUE!</v>
      </c>
      <c r="F111" s="148" t="e">
        <f t="shared" si="11"/>
        <v>#VALUE!</v>
      </c>
      <c r="G111" s="148" t="str">
        <f t="shared" si="12"/>
        <v/>
      </c>
      <c r="H111" s="148" t="str">
        <f t="shared" si="15"/>
        <v/>
      </c>
      <c r="I111" s="148" t="e">
        <f t="shared" si="13"/>
        <v>#VALUE!</v>
      </c>
      <c r="J111" s="148">
        <f>SUM($H$18:$H111)</f>
        <v>0</v>
      </c>
    </row>
    <row r="112" spans="1:10" x14ac:dyDescent="0.2">
      <c r="A112" s="151" t="str">
        <f>IF(Values_Entered,A111+1,"")</f>
        <v/>
      </c>
      <c r="B112" s="150" t="str">
        <f t="shared" si="8"/>
        <v/>
      </c>
      <c r="C112" s="148" t="str">
        <f t="shared" si="14"/>
        <v/>
      </c>
      <c r="D112" s="148" t="str">
        <f t="shared" si="9"/>
        <v/>
      </c>
      <c r="E112" s="149" t="e">
        <f t="shared" si="10"/>
        <v>#VALUE!</v>
      </c>
      <c r="F112" s="148" t="e">
        <f t="shared" si="11"/>
        <v>#VALUE!</v>
      </c>
      <c r="G112" s="148" t="str">
        <f t="shared" si="12"/>
        <v/>
      </c>
      <c r="H112" s="148" t="str">
        <f t="shared" si="15"/>
        <v/>
      </c>
      <c r="I112" s="148" t="e">
        <f t="shared" si="13"/>
        <v>#VALUE!</v>
      </c>
      <c r="J112" s="148">
        <f>SUM($H$18:$H112)</f>
        <v>0</v>
      </c>
    </row>
    <row r="113" spans="1:10" x14ac:dyDescent="0.2">
      <c r="A113" s="151" t="str">
        <f>IF(Values_Entered,A112+1,"")</f>
        <v/>
      </c>
      <c r="B113" s="150" t="str">
        <f t="shared" si="8"/>
        <v/>
      </c>
      <c r="C113" s="148" t="str">
        <f t="shared" si="14"/>
        <v/>
      </c>
      <c r="D113" s="148" t="str">
        <f t="shared" si="9"/>
        <v/>
      </c>
      <c r="E113" s="149" t="e">
        <f t="shared" si="10"/>
        <v>#VALUE!</v>
      </c>
      <c r="F113" s="148" t="e">
        <f t="shared" si="11"/>
        <v>#VALUE!</v>
      </c>
      <c r="G113" s="148" t="str">
        <f t="shared" si="12"/>
        <v/>
      </c>
      <c r="H113" s="148" t="str">
        <f t="shared" si="15"/>
        <v/>
      </c>
      <c r="I113" s="148" t="e">
        <f t="shared" si="13"/>
        <v>#VALUE!</v>
      </c>
      <c r="J113" s="148">
        <f>SUM($H$18:$H113)</f>
        <v>0</v>
      </c>
    </row>
    <row r="114" spans="1:10" x14ac:dyDescent="0.2">
      <c r="A114" s="151" t="str">
        <f>IF(Values_Entered,A113+1,"")</f>
        <v/>
      </c>
      <c r="B114" s="150" t="str">
        <f t="shared" si="8"/>
        <v/>
      </c>
      <c r="C114" s="148" t="str">
        <f t="shared" si="14"/>
        <v/>
      </c>
      <c r="D114" s="148" t="str">
        <f t="shared" si="9"/>
        <v/>
      </c>
      <c r="E114" s="149" t="e">
        <f t="shared" si="10"/>
        <v>#VALUE!</v>
      </c>
      <c r="F114" s="148" t="e">
        <f t="shared" si="11"/>
        <v>#VALUE!</v>
      </c>
      <c r="G114" s="148" t="str">
        <f t="shared" si="12"/>
        <v/>
      </c>
      <c r="H114" s="148" t="str">
        <f t="shared" si="15"/>
        <v/>
      </c>
      <c r="I114" s="148" t="e">
        <f t="shared" si="13"/>
        <v>#VALUE!</v>
      </c>
      <c r="J114" s="148">
        <f>SUM($H$18:$H114)</f>
        <v>0</v>
      </c>
    </row>
    <row r="115" spans="1:10" x14ac:dyDescent="0.2">
      <c r="A115" s="151" t="str">
        <f>IF(Values_Entered,A114+1,"")</f>
        <v/>
      </c>
      <c r="B115" s="150" t="str">
        <f t="shared" si="8"/>
        <v/>
      </c>
      <c r="C115" s="148" t="str">
        <f t="shared" si="14"/>
        <v/>
      </c>
      <c r="D115" s="148" t="str">
        <f t="shared" si="9"/>
        <v/>
      </c>
      <c r="E115" s="149" t="e">
        <f t="shared" si="10"/>
        <v>#VALUE!</v>
      </c>
      <c r="F115" s="148" t="e">
        <f t="shared" si="11"/>
        <v>#VALUE!</v>
      </c>
      <c r="G115" s="148" t="str">
        <f t="shared" si="12"/>
        <v/>
      </c>
      <c r="H115" s="148" t="str">
        <f t="shared" si="15"/>
        <v/>
      </c>
      <c r="I115" s="148" t="e">
        <f t="shared" si="13"/>
        <v>#VALUE!</v>
      </c>
      <c r="J115" s="148">
        <f>SUM($H$18:$H115)</f>
        <v>0</v>
      </c>
    </row>
    <row r="116" spans="1:10" x14ac:dyDescent="0.2">
      <c r="A116" s="151" t="str">
        <f>IF(Values_Entered,A115+1,"")</f>
        <v/>
      </c>
      <c r="B116" s="150" t="str">
        <f t="shared" si="8"/>
        <v/>
      </c>
      <c r="C116" s="148" t="str">
        <f t="shared" si="14"/>
        <v/>
      </c>
      <c r="D116" s="148" t="str">
        <f t="shared" si="9"/>
        <v/>
      </c>
      <c r="E116" s="149" t="e">
        <f t="shared" si="10"/>
        <v>#VALUE!</v>
      </c>
      <c r="F116" s="148" t="e">
        <f t="shared" si="11"/>
        <v>#VALUE!</v>
      </c>
      <c r="G116" s="148" t="str">
        <f t="shared" si="12"/>
        <v/>
      </c>
      <c r="H116" s="148" t="str">
        <f t="shared" si="15"/>
        <v/>
      </c>
      <c r="I116" s="148" t="e">
        <f t="shared" si="13"/>
        <v>#VALUE!</v>
      </c>
      <c r="J116" s="148">
        <f>SUM($H$18:$H116)</f>
        <v>0</v>
      </c>
    </row>
    <row r="117" spans="1:10" x14ac:dyDescent="0.2">
      <c r="A117" s="151" t="str">
        <f>IF(Values_Entered,A116+1,"")</f>
        <v/>
      </c>
      <c r="B117" s="150" t="str">
        <f t="shared" si="8"/>
        <v/>
      </c>
      <c r="C117" s="148" t="str">
        <f t="shared" si="14"/>
        <v/>
      </c>
      <c r="D117" s="148" t="str">
        <f t="shared" si="9"/>
        <v/>
      </c>
      <c r="E117" s="149" t="e">
        <f t="shared" si="10"/>
        <v>#VALUE!</v>
      </c>
      <c r="F117" s="148" t="e">
        <f t="shared" si="11"/>
        <v>#VALUE!</v>
      </c>
      <c r="G117" s="148" t="str">
        <f t="shared" si="12"/>
        <v/>
      </c>
      <c r="H117" s="148" t="str">
        <f t="shared" si="15"/>
        <v/>
      </c>
      <c r="I117" s="148" t="e">
        <f t="shared" si="13"/>
        <v>#VALUE!</v>
      </c>
      <c r="J117" s="148">
        <f>SUM($H$18:$H117)</f>
        <v>0</v>
      </c>
    </row>
    <row r="118" spans="1:10" x14ac:dyDescent="0.2">
      <c r="A118" s="151" t="str">
        <f>IF(Values_Entered,A117+1,"")</f>
        <v/>
      </c>
      <c r="B118" s="150" t="str">
        <f t="shared" si="8"/>
        <v/>
      </c>
      <c r="C118" s="148" t="str">
        <f t="shared" si="14"/>
        <v/>
      </c>
      <c r="D118" s="148" t="str">
        <f t="shared" si="9"/>
        <v/>
      </c>
      <c r="E118" s="149" t="e">
        <f t="shared" si="10"/>
        <v>#VALUE!</v>
      </c>
      <c r="F118" s="148" t="e">
        <f t="shared" si="11"/>
        <v>#VALUE!</v>
      </c>
      <c r="G118" s="148" t="str">
        <f t="shared" si="12"/>
        <v/>
      </c>
      <c r="H118" s="148" t="str">
        <f t="shared" si="15"/>
        <v/>
      </c>
      <c r="I118" s="148" t="e">
        <f t="shared" si="13"/>
        <v>#VALUE!</v>
      </c>
      <c r="J118" s="148">
        <f>SUM($H$18:$H118)</f>
        <v>0</v>
      </c>
    </row>
    <row r="119" spans="1:10" x14ac:dyDescent="0.2">
      <c r="A119" s="151" t="str">
        <f>IF(Values_Entered,A118+1,"")</f>
        <v/>
      </c>
      <c r="B119" s="150" t="str">
        <f t="shared" si="8"/>
        <v/>
      </c>
      <c r="C119" s="148" t="str">
        <f t="shared" si="14"/>
        <v/>
      </c>
      <c r="D119" s="148" t="str">
        <f t="shared" si="9"/>
        <v/>
      </c>
      <c r="E119" s="149" t="e">
        <f t="shared" si="10"/>
        <v>#VALUE!</v>
      </c>
      <c r="F119" s="148" t="e">
        <f t="shared" si="11"/>
        <v>#VALUE!</v>
      </c>
      <c r="G119" s="148" t="str">
        <f t="shared" si="12"/>
        <v/>
      </c>
      <c r="H119" s="148" t="str">
        <f t="shared" si="15"/>
        <v/>
      </c>
      <c r="I119" s="148" t="e">
        <f t="shared" si="13"/>
        <v>#VALUE!</v>
      </c>
      <c r="J119" s="148">
        <f>SUM($H$18:$H119)</f>
        <v>0</v>
      </c>
    </row>
    <row r="120" spans="1:10" x14ac:dyDescent="0.2">
      <c r="A120" s="151" t="str">
        <f>IF(Values_Entered,A119+1,"")</f>
        <v/>
      </c>
      <c r="B120" s="150" t="str">
        <f t="shared" si="8"/>
        <v/>
      </c>
      <c r="C120" s="148" t="str">
        <f t="shared" si="14"/>
        <v/>
      </c>
      <c r="D120" s="148" t="str">
        <f t="shared" si="9"/>
        <v/>
      </c>
      <c r="E120" s="149" t="e">
        <f t="shared" si="10"/>
        <v>#VALUE!</v>
      </c>
      <c r="F120" s="148" t="e">
        <f t="shared" si="11"/>
        <v>#VALUE!</v>
      </c>
      <c r="G120" s="148" t="str">
        <f t="shared" si="12"/>
        <v/>
      </c>
      <c r="H120" s="148" t="str">
        <f t="shared" si="15"/>
        <v/>
      </c>
      <c r="I120" s="148" t="e">
        <f t="shared" si="13"/>
        <v>#VALUE!</v>
      </c>
      <c r="J120" s="148">
        <f>SUM($H$18:$H120)</f>
        <v>0</v>
      </c>
    </row>
    <row r="121" spans="1:10" x14ac:dyDescent="0.2">
      <c r="A121" s="151" t="str">
        <f>IF(Values_Entered,A120+1,"")</f>
        <v/>
      </c>
      <c r="B121" s="150" t="str">
        <f t="shared" si="8"/>
        <v/>
      </c>
      <c r="C121" s="148" t="str">
        <f t="shared" si="14"/>
        <v/>
      </c>
      <c r="D121" s="148" t="str">
        <f t="shared" si="9"/>
        <v/>
      </c>
      <c r="E121" s="149" t="e">
        <f t="shared" si="10"/>
        <v>#VALUE!</v>
      </c>
      <c r="F121" s="148" t="e">
        <f t="shared" si="11"/>
        <v>#VALUE!</v>
      </c>
      <c r="G121" s="148" t="str">
        <f t="shared" si="12"/>
        <v/>
      </c>
      <c r="H121" s="148" t="str">
        <f t="shared" si="15"/>
        <v/>
      </c>
      <c r="I121" s="148" t="e">
        <f t="shared" si="13"/>
        <v>#VALUE!</v>
      </c>
      <c r="J121" s="148">
        <f>SUM($H$18:$H121)</f>
        <v>0</v>
      </c>
    </row>
    <row r="122" spans="1:10" x14ac:dyDescent="0.2">
      <c r="A122" s="151" t="str">
        <f>IF(Values_Entered,A121+1,"")</f>
        <v/>
      </c>
      <c r="B122" s="150" t="str">
        <f t="shared" si="8"/>
        <v/>
      </c>
      <c r="C122" s="148" t="str">
        <f t="shared" si="14"/>
        <v/>
      </c>
      <c r="D122" s="148" t="str">
        <f t="shared" si="9"/>
        <v/>
      </c>
      <c r="E122" s="149" t="e">
        <f t="shared" si="10"/>
        <v>#VALUE!</v>
      </c>
      <c r="F122" s="148" t="e">
        <f t="shared" si="11"/>
        <v>#VALUE!</v>
      </c>
      <c r="G122" s="148" t="str">
        <f t="shared" si="12"/>
        <v/>
      </c>
      <c r="H122" s="148" t="str">
        <f t="shared" si="15"/>
        <v/>
      </c>
      <c r="I122" s="148" t="e">
        <f t="shared" si="13"/>
        <v>#VALUE!</v>
      </c>
      <c r="J122" s="148">
        <f>SUM($H$18:$H122)</f>
        <v>0</v>
      </c>
    </row>
    <row r="123" spans="1:10" x14ac:dyDescent="0.2">
      <c r="A123" s="151" t="str">
        <f>IF(Values_Entered,A122+1,"")</f>
        <v/>
      </c>
      <c r="B123" s="150" t="str">
        <f t="shared" si="8"/>
        <v/>
      </c>
      <c r="C123" s="148" t="str">
        <f t="shared" si="14"/>
        <v/>
      </c>
      <c r="D123" s="148" t="str">
        <f t="shared" si="9"/>
        <v/>
      </c>
      <c r="E123" s="149" t="e">
        <f t="shared" si="10"/>
        <v>#VALUE!</v>
      </c>
      <c r="F123" s="148" t="e">
        <f t="shared" si="11"/>
        <v>#VALUE!</v>
      </c>
      <c r="G123" s="148" t="str">
        <f t="shared" si="12"/>
        <v/>
      </c>
      <c r="H123" s="148" t="str">
        <f t="shared" si="15"/>
        <v/>
      </c>
      <c r="I123" s="148" t="e">
        <f t="shared" si="13"/>
        <v>#VALUE!</v>
      </c>
      <c r="J123" s="148">
        <f>SUM($H$18:$H123)</f>
        <v>0</v>
      </c>
    </row>
    <row r="124" spans="1:10" x14ac:dyDescent="0.2">
      <c r="A124" s="151" t="str">
        <f>IF(Values_Entered,A123+1,"")</f>
        <v/>
      </c>
      <c r="B124" s="150" t="str">
        <f t="shared" si="8"/>
        <v/>
      </c>
      <c r="C124" s="148" t="str">
        <f t="shared" si="14"/>
        <v/>
      </c>
      <c r="D124" s="148" t="str">
        <f t="shared" si="9"/>
        <v/>
      </c>
      <c r="E124" s="149" t="e">
        <f t="shared" si="10"/>
        <v>#VALUE!</v>
      </c>
      <c r="F124" s="148" t="e">
        <f t="shared" si="11"/>
        <v>#VALUE!</v>
      </c>
      <c r="G124" s="148" t="str">
        <f t="shared" si="12"/>
        <v/>
      </c>
      <c r="H124" s="148" t="str">
        <f t="shared" si="15"/>
        <v/>
      </c>
      <c r="I124" s="148" t="e">
        <f t="shared" si="13"/>
        <v>#VALUE!</v>
      </c>
      <c r="J124" s="148">
        <f>SUM($H$18:$H124)</f>
        <v>0</v>
      </c>
    </row>
    <row r="125" spans="1:10" x14ac:dyDescent="0.2">
      <c r="A125" s="151" t="str">
        <f>IF(Values_Entered,A124+1,"")</f>
        <v/>
      </c>
      <c r="B125" s="150" t="str">
        <f t="shared" si="8"/>
        <v/>
      </c>
      <c r="C125" s="148" t="str">
        <f t="shared" si="14"/>
        <v/>
      </c>
      <c r="D125" s="148" t="str">
        <f t="shared" si="9"/>
        <v/>
      </c>
      <c r="E125" s="149" t="e">
        <f t="shared" si="10"/>
        <v>#VALUE!</v>
      </c>
      <c r="F125" s="148" t="e">
        <f t="shared" si="11"/>
        <v>#VALUE!</v>
      </c>
      <c r="G125" s="148" t="str">
        <f t="shared" si="12"/>
        <v/>
      </c>
      <c r="H125" s="148" t="str">
        <f t="shared" si="15"/>
        <v/>
      </c>
      <c r="I125" s="148" t="e">
        <f t="shared" si="13"/>
        <v>#VALUE!</v>
      </c>
      <c r="J125" s="148">
        <f>SUM($H$18:$H125)</f>
        <v>0</v>
      </c>
    </row>
    <row r="126" spans="1:10" x14ac:dyDescent="0.2">
      <c r="A126" s="151" t="str">
        <f>IF(Values_Entered,A125+1,"")</f>
        <v/>
      </c>
      <c r="B126" s="150" t="str">
        <f t="shared" si="8"/>
        <v/>
      </c>
      <c r="C126" s="148" t="str">
        <f t="shared" si="14"/>
        <v/>
      </c>
      <c r="D126" s="148" t="str">
        <f t="shared" si="9"/>
        <v/>
      </c>
      <c r="E126" s="149" t="e">
        <f t="shared" si="10"/>
        <v>#VALUE!</v>
      </c>
      <c r="F126" s="148" t="e">
        <f t="shared" si="11"/>
        <v>#VALUE!</v>
      </c>
      <c r="G126" s="148" t="str">
        <f t="shared" si="12"/>
        <v/>
      </c>
      <c r="H126" s="148" t="str">
        <f t="shared" si="15"/>
        <v/>
      </c>
      <c r="I126" s="148" t="e">
        <f t="shared" si="13"/>
        <v>#VALUE!</v>
      </c>
      <c r="J126" s="148">
        <f>SUM($H$18:$H126)</f>
        <v>0</v>
      </c>
    </row>
    <row r="127" spans="1:10" x14ac:dyDescent="0.2">
      <c r="A127" s="151" t="str">
        <f>IF(Values_Entered,A126+1,"")</f>
        <v/>
      </c>
      <c r="B127" s="150" t="str">
        <f t="shared" si="8"/>
        <v/>
      </c>
      <c r="C127" s="148" t="str">
        <f t="shared" si="14"/>
        <v/>
      </c>
      <c r="D127" s="148" t="str">
        <f t="shared" si="9"/>
        <v/>
      </c>
      <c r="E127" s="149" t="e">
        <f t="shared" si="10"/>
        <v>#VALUE!</v>
      </c>
      <c r="F127" s="148" t="e">
        <f t="shared" si="11"/>
        <v>#VALUE!</v>
      </c>
      <c r="G127" s="148" t="str">
        <f t="shared" si="12"/>
        <v/>
      </c>
      <c r="H127" s="148" t="str">
        <f t="shared" si="15"/>
        <v/>
      </c>
      <c r="I127" s="148" t="e">
        <f t="shared" si="13"/>
        <v>#VALUE!</v>
      </c>
      <c r="J127" s="148">
        <f>SUM($H$18:$H127)</f>
        <v>0</v>
      </c>
    </row>
    <row r="128" spans="1:10" x14ac:dyDescent="0.2">
      <c r="A128" s="151" t="str">
        <f>IF(Values_Entered,A127+1,"")</f>
        <v/>
      </c>
      <c r="B128" s="150" t="str">
        <f t="shared" si="8"/>
        <v/>
      </c>
      <c r="C128" s="148" t="str">
        <f t="shared" si="14"/>
        <v/>
      </c>
      <c r="D128" s="148" t="str">
        <f t="shared" si="9"/>
        <v/>
      </c>
      <c r="E128" s="149" t="e">
        <f t="shared" si="10"/>
        <v>#VALUE!</v>
      </c>
      <c r="F128" s="148" t="e">
        <f t="shared" si="11"/>
        <v>#VALUE!</v>
      </c>
      <c r="G128" s="148" t="str">
        <f t="shared" si="12"/>
        <v/>
      </c>
      <c r="H128" s="148" t="str">
        <f t="shared" si="15"/>
        <v/>
      </c>
      <c r="I128" s="148" t="e">
        <f t="shared" si="13"/>
        <v>#VALUE!</v>
      </c>
      <c r="J128" s="148">
        <f>SUM($H$18:$H128)</f>
        <v>0</v>
      </c>
    </row>
    <row r="129" spans="1:10" x14ac:dyDescent="0.2">
      <c r="A129" s="151" t="str">
        <f>IF(Values_Entered,A128+1,"")</f>
        <v/>
      </c>
      <c r="B129" s="150" t="str">
        <f t="shared" si="8"/>
        <v/>
      </c>
      <c r="C129" s="148" t="str">
        <f t="shared" si="14"/>
        <v/>
      </c>
      <c r="D129" s="148" t="str">
        <f t="shared" si="9"/>
        <v/>
      </c>
      <c r="E129" s="149" t="e">
        <f t="shared" si="10"/>
        <v>#VALUE!</v>
      </c>
      <c r="F129" s="148" t="e">
        <f t="shared" si="11"/>
        <v>#VALUE!</v>
      </c>
      <c r="G129" s="148" t="str">
        <f t="shared" si="12"/>
        <v/>
      </c>
      <c r="H129" s="148" t="str">
        <f t="shared" si="15"/>
        <v/>
      </c>
      <c r="I129" s="148" t="e">
        <f t="shared" si="13"/>
        <v>#VALUE!</v>
      </c>
      <c r="J129" s="148">
        <f>SUM($H$18:$H129)</f>
        <v>0</v>
      </c>
    </row>
    <row r="130" spans="1:10" x14ac:dyDescent="0.2">
      <c r="A130" s="151" t="str">
        <f>IF(Values_Entered,A129+1,"")</f>
        <v/>
      </c>
      <c r="B130" s="150" t="str">
        <f t="shared" si="8"/>
        <v/>
      </c>
      <c r="C130" s="148" t="str">
        <f t="shared" si="14"/>
        <v/>
      </c>
      <c r="D130" s="148" t="str">
        <f t="shared" si="9"/>
        <v/>
      </c>
      <c r="E130" s="149" t="e">
        <f t="shared" si="10"/>
        <v>#VALUE!</v>
      </c>
      <c r="F130" s="148" t="e">
        <f t="shared" si="11"/>
        <v>#VALUE!</v>
      </c>
      <c r="G130" s="148" t="str">
        <f t="shared" si="12"/>
        <v/>
      </c>
      <c r="H130" s="148" t="str">
        <f t="shared" si="15"/>
        <v/>
      </c>
      <c r="I130" s="148" t="e">
        <f t="shared" si="13"/>
        <v>#VALUE!</v>
      </c>
      <c r="J130" s="148">
        <f>SUM($H$18:$H130)</f>
        <v>0</v>
      </c>
    </row>
    <row r="131" spans="1:10" x14ac:dyDescent="0.2">
      <c r="A131" s="151" t="str">
        <f>IF(Values_Entered,A130+1,"")</f>
        <v/>
      </c>
      <c r="B131" s="150" t="str">
        <f t="shared" si="8"/>
        <v/>
      </c>
      <c r="C131" s="148" t="str">
        <f t="shared" si="14"/>
        <v/>
      </c>
      <c r="D131" s="148" t="str">
        <f t="shared" si="9"/>
        <v/>
      </c>
      <c r="E131" s="149" t="e">
        <f t="shared" si="10"/>
        <v>#VALUE!</v>
      </c>
      <c r="F131" s="148" t="e">
        <f t="shared" si="11"/>
        <v>#VALUE!</v>
      </c>
      <c r="G131" s="148" t="str">
        <f t="shared" si="12"/>
        <v/>
      </c>
      <c r="H131" s="148" t="str">
        <f t="shared" si="15"/>
        <v/>
      </c>
      <c r="I131" s="148" t="e">
        <f t="shared" si="13"/>
        <v>#VALUE!</v>
      </c>
      <c r="J131" s="148">
        <f>SUM($H$18:$H131)</f>
        <v>0</v>
      </c>
    </row>
    <row r="132" spans="1:10" x14ac:dyDescent="0.2">
      <c r="A132" s="151" t="str">
        <f>IF(Values_Entered,A131+1,"")</f>
        <v/>
      </c>
      <c r="B132" s="150" t="str">
        <f t="shared" si="8"/>
        <v/>
      </c>
      <c r="C132" s="148" t="str">
        <f t="shared" si="14"/>
        <v/>
      </c>
      <c r="D132" s="148" t="str">
        <f t="shared" si="9"/>
        <v/>
      </c>
      <c r="E132" s="149" t="e">
        <f t="shared" si="10"/>
        <v>#VALUE!</v>
      </c>
      <c r="F132" s="148" t="e">
        <f t="shared" si="11"/>
        <v>#VALUE!</v>
      </c>
      <c r="G132" s="148" t="str">
        <f t="shared" si="12"/>
        <v/>
      </c>
      <c r="H132" s="148" t="str">
        <f t="shared" si="15"/>
        <v/>
      </c>
      <c r="I132" s="148" t="e">
        <f t="shared" si="13"/>
        <v>#VALUE!</v>
      </c>
      <c r="J132" s="148">
        <f>SUM($H$18:$H132)</f>
        <v>0</v>
      </c>
    </row>
    <row r="133" spans="1:10" x14ac:dyDescent="0.2">
      <c r="A133" s="151" t="str">
        <f>IF(Values_Entered,A132+1,"")</f>
        <v/>
      </c>
      <c r="B133" s="150" t="str">
        <f t="shared" si="8"/>
        <v/>
      </c>
      <c r="C133" s="148" t="str">
        <f t="shared" si="14"/>
        <v/>
      </c>
      <c r="D133" s="148" t="str">
        <f t="shared" si="9"/>
        <v/>
      </c>
      <c r="E133" s="149" t="e">
        <f t="shared" si="10"/>
        <v>#VALUE!</v>
      </c>
      <c r="F133" s="148" t="e">
        <f t="shared" si="11"/>
        <v>#VALUE!</v>
      </c>
      <c r="G133" s="148" t="str">
        <f t="shared" si="12"/>
        <v/>
      </c>
      <c r="H133" s="148" t="str">
        <f t="shared" si="15"/>
        <v/>
      </c>
      <c r="I133" s="148" t="e">
        <f t="shared" si="13"/>
        <v>#VALUE!</v>
      </c>
      <c r="J133" s="148">
        <f>SUM($H$18:$H133)</f>
        <v>0</v>
      </c>
    </row>
    <row r="134" spans="1:10" x14ac:dyDescent="0.2">
      <c r="A134" s="151" t="str">
        <f>IF(Values_Entered,A133+1,"")</f>
        <v/>
      </c>
      <c r="B134" s="150" t="str">
        <f t="shared" si="8"/>
        <v/>
      </c>
      <c r="C134" s="148" t="str">
        <f t="shared" si="14"/>
        <v/>
      </c>
      <c r="D134" s="148" t="str">
        <f t="shared" si="9"/>
        <v/>
      </c>
      <c r="E134" s="149" t="e">
        <f t="shared" si="10"/>
        <v>#VALUE!</v>
      </c>
      <c r="F134" s="148" t="e">
        <f t="shared" si="11"/>
        <v>#VALUE!</v>
      </c>
      <c r="G134" s="148" t="str">
        <f t="shared" si="12"/>
        <v/>
      </c>
      <c r="H134" s="148" t="str">
        <f t="shared" si="15"/>
        <v/>
      </c>
      <c r="I134" s="148" t="e">
        <f t="shared" si="13"/>
        <v>#VALUE!</v>
      </c>
      <c r="J134" s="148">
        <f>SUM($H$18:$H134)</f>
        <v>0</v>
      </c>
    </row>
    <row r="135" spans="1:10" x14ac:dyDescent="0.2">
      <c r="A135" s="151" t="str">
        <f>IF(Values_Entered,A134+1,"")</f>
        <v/>
      </c>
      <c r="B135" s="150" t="str">
        <f t="shared" si="8"/>
        <v/>
      </c>
      <c r="C135" s="148" t="str">
        <f t="shared" si="14"/>
        <v/>
      </c>
      <c r="D135" s="148" t="str">
        <f t="shared" si="9"/>
        <v/>
      </c>
      <c r="E135" s="149" t="e">
        <f t="shared" si="10"/>
        <v>#VALUE!</v>
      </c>
      <c r="F135" s="148" t="e">
        <f t="shared" si="11"/>
        <v>#VALUE!</v>
      </c>
      <c r="G135" s="148" t="str">
        <f t="shared" si="12"/>
        <v/>
      </c>
      <c r="H135" s="148" t="str">
        <f t="shared" si="15"/>
        <v/>
      </c>
      <c r="I135" s="148" t="e">
        <f t="shared" si="13"/>
        <v>#VALUE!</v>
      </c>
      <c r="J135" s="148">
        <f>SUM($H$18:$H135)</f>
        <v>0</v>
      </c>
    </row>
    <row r="136" spans="1:10" x14ac:dyDescent="0.2">
      <c r="A136" s="151" t="str">
        <f>IF(Values_Entered,A135+1,"")</f>
        <v/>
      </c>
      <c r="B136" s="150" t="str">
        <f t="shared" si="8"/>
        <v/>
      </c>
      <c r="C136" s="148" t="str">
        <f t="shared" si="14"/>
        <v/>
      </c>
      <c r="D136" s="148" t="str">
        <f t="shared" si="9"/>
        <v/>
      </c>
      <c r="E136" s="149" t="e">
        <f t="shared" si="10"/>
        <v>#VALUE!</v>
      </c>
      <c r="F136" s="148" t="e">
        <f t="shared" si="11"/>
        <v>#VALUE!</v>
      </c>
      <c r="G136" s="148" t="str">
        <f t="shared" si="12"/>
        <v/>
      </c>
      <c r="H136" s="148" t="str">
        <f t="shared" si="15"/>
        <v/>
      </c>
      <c r="I136" s="148" t="e">
        <f t="shared" si="13"/>
        <v>#VALUE!</v>
      </c>
      <c r="J136" s="148">
        <f>SUM($H$18:$H136)</f>
        <v>0</v>
      </c>
    </row>
    <row r="137" spans="1:10" x14ac:dyDescent="0.2">
      <c r="A137" s="151" t="str">
        <f>IF(Values_Entered,A136+1,"")</f>
        <v/>
      </c>
      <c r="B137" s="150" t="str">
        <f t="shared" si="8"/>
        <v/>
      </c>
      <c r="C137" s="148" t="str">
        <f t="shared" si="14"/>
        <v/>
      </c>
      <c r="D137" s="148" t="str">
        <f t="shared" si="9"/>
        <v/>
      </c>
      <c r="E137" s="149" t="e">
        <f t="shared" si="10"/>
        <v>#VALUE!</v>
      </c>
      <c r="F137" s="148" t="e">
        <f t="shared" si="11"/>
        <v>#VALUE!</v>
      </c>
      <c r="G137" s="148" t="str">
        <f t="shared" si="12"/>
        <v/>
      </c>
      <c r="H137" s="148" t="str">
        <f t="shared" si="15"/>
        <v/>
      </c>
      <c r="I137" s="148" t="e">
        <f t="shared" si="13"/>
        <v>#VALUE!</v>
      </c>
      <c r="J137" s="148">
        <f>SUM($H$18:$H137)</f>
        <v>0</v>
      </c>
    </row>
    <row r="138" spans="1:10" x14ac:dyDescent="0.2">
      <c r="A138" s="151" t="str">
        <f>IF(Values_Entered,A137+1,"")</f>
        <v/>
      </c>
      <c r="B138" s="150" t="str">
        <f t="shared" si="8"/>
        <v/>
      </c>
      <c r="C138" s="148" t="str">
        <f t="shared" si="14"/>
        <v/>
      </c>
      <c r="D138" s="148" t="str">
        <f t="shared" si="9"/>
        <v/>
      </c>
      <c r="E138" s="149" t="e">
        <f t="shared" si="10"/>
        <v>#VALUE!</v>
      </c>
      <c r="F138" s="148" t="e">
        <f t="shared" si="11"/>
        <v>#VALUE!</v>
      </c>
      <c r="G138" s="148" t="str">
        <f t="shared" si="12"/>
        <v/>
      </c>
      <c r="H138" s="148" t="str">
        <f t="shared" si="15"/>
        <v/>
      </c>
      <c r="I138" s="148" t="e">
        <f t="shared" si="13"/>
        <v>#VALUE!</v>
      </c>
      <c r="J138" s="148">
        <f>SUM($H$18:$H138)</f>
        <v>0</v>
      </c>
    </row>
    <row r="139" spans="1:10" x14ac:dyDescent="0.2">
      <c r="A139" s="151" t="str">
        <f>IF(Values_Entered,A138+1,"")</f>
        <v/>
      </c>
      <c r="B139" s="150" t="str">
        <f t="shared" si="8"/>
        <v/>
      </c>
      <c r="C139" s="148" t="str">
        <f t="shared" si="14"/>
        <v/>
      </c>
      <c r="D139" s="148" t="str">
        <f t="shared" si="9"/>
        <v/>
      </c>
      <c r="E139" s="149" t="e">
        <f t="shared" si="10"/>
        <v>#VALUE!</v>
      </c>
      <c r="F139" s="148" t="e">
        <f t="shared" si="11"/>
        <v>#VALUE!</v>
      </c>
      <c r="G139" s="148" t="str">
        <f t="shared" si="12"/>
        <v/>
      </c>
      <c r="H139" s="148" t="str">
        <f t="shared" si="15"/>
        <v/>
      </c>
      <c r="I139" s="148" t="e">
        <f t="shared" si="13"/>
        <v>#VALUE!</v>
      </c>
      <c r="J139" s="148">
        <f>SUM($H$18:$H139)</f>
        <v>0</v>
      </c>
    </row>
    <row r="140" spans="1:10" x14ac:dyDescent="0.2">
      <c r="A140" s="151" t="str">
        <f>IF(Values_Entered,A139+1,"")</f>
        <v/>
      </c>
      <c r="B140" s="150" t="str">
        <f t="shared" si="8"/>
        <v/>
      </c>
      <c r="C140" s="148" t="str">
        <f t="shared" si="14"/>
        <v/>
      </c>
      <c r="D140" s="148" t="str">
        <f t="shared" si="9"/>
        <v/>
      </c>
      <c r="E140" s="149" t="e">
        <f t="shared" si="10"/>
        <v>#VALUE!</v>
      </c>
      <c r="F140" s="148" t="e">
        <f t="shared" si="11"/>
        <v>#VALUE!</v>
      </c>
      <c r="G140" s="148" t="str">
        <f t="shared" si="12"/>
        <v/>
      </c>
      <c r="H140" s="148" t="str">
        <f t="shared" si="15"/>
        <v/>
      </c>
      <c r="I140" s="148" t="e">
        <f t="shared" si="13"/>
        <v>#VALUE!</v>
      </c>
      <c r="J140" s="148">
        <f>SUM($H$18:$H140)</f>
        <v>0</v>
      </c>
    </row>
    <row r="141" spans="1:10" x14ac:dyDescent="0.2">
      <c r="A141" s="151" t="str">
        <f>IF(Values_Entered,A140+1,"")</f>
        <v/>
      </c>
      <c r="B141" s="150" t="str">
        <f t="shared" si="8"/>
        <v/>
      </c>
      <c r="C141" s="148" t="str">
        <f t="shared" si="14"/>
        <v/>
      </c>
      <c r="D141" s="148" t="str">
        <f t="shared" si="9"/>
        <v/>
      </c>
      <c r="E141" s="149" t="e">
        <f t="shared" si="10"/>
        <v>#VALUE!</v>
      </c>
      <c r="F141" s="148" t="e">
        <f t="shared" si="11"/>
        <v>#VALUE!</v>
      </c>
      <c r="G141" s="148" t="str">
        <f t="shared" si="12"/>
        <v/>
      </c>
      <c r="H141" s="148" t="str">
        <f t="shared" si="15"/>
        <v/>
      </c>
      <c r="I141" s="148" t="e">
        <f t="shared" si="13"/>
        <v>#VALUE!</v>
      </c>
      <c r="J141" s="148">
        <f>SUM($H$18:$H141)</f>
        <v>0</v>
      </c>
    </row>
    <row r="142" spans="1:10" x14ac:dyDescent="0.2">
      <c r="A142" s="151" t="str">
        <f>IF(Values_Entered,A141+1,"")</f>
        <v/>
      </c>
      <c r="B142" s="150" t="str">
        <f t="shared" si="8"/>
        <v/>
      </c>
      <c r="C142" s="148" t="str">
        <f t="shared" si="14"/>
        <v/>
      </c>
      <c r="D142" s="148" t="str">
        <f t="shared" si="9"/>
        <v/>
      </c>
      <c r="E142" s="149" t="e">
        <f t="shared" si="10"/>
        <v>#VALUE!</v>
      </c>
      <c r="F142" s="148" t="e">
        <f t="shared" si="11"/>
        <v>#VALUE!</v>
      </c>
      <c r="G142" s="148" t="str">
        <f t="shared" si="12"/>
        <v/>
      </c>
      <c r="H142" s="148" t="str">
        <f t="shared" si="15"/>
        <v/>
      </c>
      <c r="I142" s="148" t="e">
        <f t="shared" si="13"/>
        <v>#VALUE!</v>
      </c>
      <c r="J142" s="148">
        <f>SUM($H$18:$H142)</f>
        <v>0</v>
      </c>
    </row>
    <row r="143" spans="1:10" x14ac:dyDescent="0.2">
      <c r="A143" s="151" t="str">
        <f>IF(Values_Entered,A142+1,"")</f>
        <v/>
      </c>
      <c r="B143" s="150" t="str">
        <f t="shared" si="8"/>
        <v/>
      </c>
      <c r="C143" s="148" t="str">
        <f t="shared" si="14"/>
        <v/>
      </c>
      <c r="D143" s="148" t="str">
        <f t="shared" si="9"/>
        <v/>
      </c>
      <c r="E143" s="149" t="e">
        <f t="shared" si="10"/>
        <v>#VALUE!</v>
      </c>
      <c r="F143" s="148" t="e">
        <f t="shared" si="11"/>
        <v>#VALUE!</v>
      </c>
      <c r="G143" s="148" t="str">
        <f t="shared" si="12"/>
        <v/>
      </c>
      <c r="H143" s="148" t="str">
        <f t="shared" si="15"/>
        <v/>
      </c>
      <c r="I143" s="148" t="e">
        <f t="shared" si="13"/>
        <v>#VALUE!</v>
      </c>
      <c r="J143" s="148">
        <f>SUM($H$18:$H143)</f>
        <v>0</v>
      </c>
    </row>
    <row r="144" spans="1:10" x14ac:dyDescent="0.2">
      <c r="A144" s="151" t="str">
        <f>IF(Values_Entered,A143+1,"")</f>
        <v/>
      </c>
      <c r="B144" s="150" t="str">
        <f t="shared" si="8"/>
        <v/>
      </c>
      <c r="C144" s="148" t="str">
        <f t="shared" si="14"/>
        <v/>
      </c>
      <c r="D144" s="148" t="str">
        <f t="shared" si="9"/>
        <v/>
      </c>
      <c r="E144" s="149" t="e">
        <f t="shared" si="10"/>
        <v>#VALUE!</v>
      </c>
      <c r="F144" s="148" t="e">
        <f t="shared" si="11"/>
        <v>#VALUE!</v>
      </c>
      <c r="G144" s="148" t="str">
        <f t="shared" si="12"/>
        <v/>
      </c>
      <c r="H144" s="148" t="str">
        <f t="shared" si="15"/>
        <v/>
      </c>
      <c r="I144" s="148" t="e">
        <f t="shared" si="13"/>
        <v>#VALUE!</v>
      </c>
      <c r="J144" s="148">
        <f>SUM($H$18:$H144)</f>
        <v>0</v>
      </c>
    </row>
    <row r="145" spans="1:10" x14ac:dyDescent="0.2">
      <c r="A145" s="151" t="str">
        <f>IF(Values_Entered,A144+1,"")</f>
        <v/>
      </c>
      <c r="B145" s="150" t="str">
        <f t="shared" si="8"/>
        <v/>
      </c>
      <c r="C145" s="148" t="str">
        <f t="shared" si="14"/>
        <v/>
      </c>
      <c r="D145" s="148" t="str">
        <f t="shared" si="9"/>
        <v/>
      </c>
      <c r="E145" s="149" t="e">
        <f t="shared" si="10"/>
        <v>#VALUE!</v>
      </c>
      <c r="F145" s="148" t="e">
        <f t="shared" si="11"/>
        <v>#VALUE!</v>
      </c>
      <c r="G145" s="148" t="str">
        <f t="shared" si="12"/>
        <v/>
      </c>
      <c r="H145" s="148" t="str">
        <f t="shared" si="15"/>
        <v/>
      </c>
      <c r="I145" s="148" t="e">
        <f t="shared" si="13"/>
        <v>#VALUE!</v>
      </c>
      <c r="J145" s="148">
        <f>SUM($H$18:$H145)</f>
        <v>0</v>
      </c>
    </row>
    <row r="146" spans="1:10" x14ac:dyDescent="0.2">
      <c r="A146" s="151" t="str">
        <f>IF(Values_Entered,A145+1,"")</f>
        <v/>
      </c>
      <c r="B146" s="150" t="str">
        <f t="shared" ref="B146:B209" si="16">IF(Pay_Num&lt;&gt;"",DATE(YEAR(Loan_Start),MONTH(Loan_Start)+(Pay_Num)*12/Num_Pmt_Per_Year,DAY(Loan_Start)),"")</f>
        <v/>
      </c>
      <c r="C146" s="148" t="str">
        <f t="shared" si="14"/>
        <v/>
      </c>
      <c r="D146" s="148" t="str">
        <f t="shared" ref="D146:D209" si="17">IF(Pay_Num&lt;&gt;"",Scheduled_Monthly_Payment,"")</f>
        <v/>
      </c>
      <c r="E146" s="149" t="e">
        <f t="shared" ref="E146:E209" si="18">IF(AND(Pay_Num&lt;&gt;"",Sched_Pay+Scheduled_Extra_Payments&lt;Beg_Bal),Scheduled_Extra_Payments,IF(AND(Pay_Num&lt;&gt;"",Beg_Bal-Sched_Pay&gt;0),Beg_Bal-Sched_Pay,IF(Pay_Num&lt;&gt;"",0,"")))</f>
        <v>#VALUE!</v>
      </c>
      <c r="F146" s="148" t="e">
        <f t="shared" ref="F146:F209" si="19">IF(AND(Pay_Num&lt;&gt;"",Sched_Pay+Extra_Pay&lt;Beg_Bal),Sched_Pay+Extra_Pay,IF(Pay_Num&lt;&gt;"",Beg_Bal,""))</f>
        <v>#VALUE!</v>
      </c>
      <c r="G146" s="148" t="str">
        <f t="shared" ref="G146:G209" si="20">IF(Pay_Num&lt;&gt;"",Total_Pay-Int,"")</f>
        <v/>
      </c>
      <c r="H146" s="148" t="str">
        <f t="shared" si="15"/>
        <v/>
      </c>
      <c r="I146" s="148" t="e">
        <f t="shared" ref="I146:I209" si="21">IF(AND(Pay_Num&lt;&gt;"",Sched_Pay+Extra_Pay&lt;Beg_Bal),Beg_Bal-Princ,IF(Pay_Num&lt;&gt;"",0,""))</f>
        <v>#VALUE!</v>
      </c>
      <c r="J146" s="148">
        <f>SUM($H$18:$H146)</f>
        <v>0</v>
      </c>
    </row>
    <row r="147" spans="1:10" x14ac:dyDescent="0.2">
      <c r="A147" s="151" t="str">
        <f>IF(Values_Entered,A146+1,"")</f>
        <v/>
      </c>
      <c r="B147" s="150" t="str">
        <f t="shared" si="16"/>
        <v/>
      </c>
      <c r="C147" s="148" t="str">
        <f t="shared" ref="C147:C210" si="22">IF(Pay_Num&lt;&gt;"",I146,"")</f>
        <v/>
      </c>
      <c r="D147" s="148" t="str">
        <f t="shared" si="17"/>
        <v/>
      </c>
      <c r="E147" s="149" t="e">
        <f t="shared" si="18"/>
        <v>#VALUE!</v>
      </c>
      <c r="F147" s="148" t="e">
        <f t="shared" si="19"/>
        <v>#VALUE!</v>
      </c>
      <c r="G147" s="148" t="str">
        <f t="shared" si="20"/>
        <v/>
      </c>
      <c r="H147" s="148" t="str">
        <f t="shared" ref="H147:H210" si="23">IF(Pay_Num&lt;&gt;"",Beg_Bal*Interest_Rate/Num_Pmt_Per_Year,"")</f>
        <v/>
      </c>
      <c r="I147" s="148" t="e">
        <f t="shared" si="21"/>
        <v>#VALUE!</v>
      </c>
      <c r="J147" s="148">
        <f>SUM($H$18:$H147)</f>
        <v>0</v>
      </c>
    </row>
    <row r="148" spans="1:10" x14ac:dyDescent="0.2">
      <c r="A148" s="151" t="str">
        <f>IF(Values_Entered,A147+1,"")</f>
        <v/>
      </c>
      <c r="B148" s="150" t="str">
        <f t="shared" si="16"/>
        <v/>
      </c>
      <c r="C148" s="148" t="str">
        <f t="shared" si="22"/>
        <v/>
      </c>
      <c r="D148" s="148" t="str">
        <f t="shared" si="17"/>
        <v/>
      </c>
      <c r="E148" s="149" t="e">
        <f t="shared" si="18"/>
        <v>#VALUE!</v>
      </c>
      <c r="F148" s="148" t="e">
        <f t="shared" si="19"/>
        <v>#VALUE!</v>
      </c>
      <c r="G148" s="148" t="str">
        <f t="shared" si="20"/>
        <v/>
      </c>
      <c r="H148" s="148" t="str">
        <f t="shared" si="23"/>
        <v/>
      </c>
      <c r="I148" s="148" t="e">
        <f t="shared" si="21"/>
        <v>#VALUE!</v>
      </c>
      <c r="J148" s="148">
        <f>SUM($H$18:$H148)</f>
        <v>0</v>
      </c>
    </row>
    <row r="149" spans="1:10" x14ac:dyDescent="0.2">
      <c r="A149" s="151" t="str">
        <f>IF(Values_Entered,A148+1,"")</f>
        <v/>
      </c>
      <c r="B149" s="150" t="str">
        <f t="shared" si="16"/>
        <v/>
      </c>
      <c r="C149" s="148" t="str">
        <f t="shared" si="22"/>
        <v/>
      </c>
      <c r="D149" s="148" t="str">
        <f t="shared" si="17"/>
        <v/>
      </c>
      <c r="E149" s="149" t="e">
        <f t="shared" si="18"/>
        <v>#VALUE!</v>
      </c>
      <c r="F149" s="148" t="e">
        <f t="shared" si="19"/>
        <v>#VALUE!</v>
      </c>
      <c r="G149" s="148" t="str">
        <f t="shared" si="20"/>
        <v/>
      </c>
      <c r="H149" s="148" t="str">
        <f t="shared" si="23"/>
        <v/>
      </c>
      <c r="I149" s="148" t="e">
        <f t="shared" si="21"/>
        <v>#VALUE!</v>
      </c>
      <c r="J149" s="148">
        <f>SUM($H$18:$H149)</f>
        <v>0</v>
      </c>
    </row>
    <row r="150" spans="1:10" x14ac:dyDescent="0.2">
      <c r="A150" s="151" t="str">
        <f>IF(Values_Entered,A149+1,"")</f>
        <v/>
      </c>
      <c r="B150" s="150" t="str">
        <f t="shared" si="16"/>
        <v/>
      </c>
      <c r="C150" s="148" t="str">
        <f t="shared" si="22"/>
        <v/>
      </c>
      <c r="D150" s="148" t="str">
        <f t="shared" si="17"/>
        <v/>
      </c>
      <c r="E150" s="149" t="e">
        <f t="shared" si="18"/>
        <v>#VALUE!</v>
      </c>
      <c r="F150" s="148" t="e">
        <f t="shared" si="19"/>
        <v>#VALUE!</v>
      </c>
      <c r="G150" s="148" t="str">
        <f t="shared" si="20"/>
        <v/>
      </c>
      <c r="H150" s="148" t="str">
        <f t="shared" si="23"/>
        <v/>
      </c>
      <c r="I150" s="148" t="e">
        <f t="shared" si="21"/>
        <v>#VALUE!</v>
      </c>
      <c r="J150" s="148">
        <f>SUM($H$18:$H150)</f>
        <v>0</v>
      </c>
    </row>
    <row r="151" spans="1:10" x14ac:dyDescent="0.2">
      <c r="A151" s="151" t="str">
        <f>IF(Values_Entered,A150+1,"")</f>
        <v/>
      </c>
      <c r="B151" s="150" t="str">
        <f t="shared" si="16"/>
        <v/>
      </c>
      <c r="C151" s="148" t="str">
        <f t="shared" si="22"/>
        <v/>
      </c>
      <c r="D151" s="148" t="str">
        <f t="shared" si="17"/>
        <v/>
      </c>
      <c r="E151" s="149" t="e">
        <f t="shared" si="18"/>
        <v>#VALUE!</v>
      </c>
      <c r="F151" s="148" t="e">
        <f t="shared" si="19"/>
        <v>#VALUE!</v>
      </c>
      <c r="G151" s="148" t="str">
        <f t="shared" si="20"/>
        <v/>
      </c>
      <c r="H151" s="148" t="str">
        <f t="shared" si="23"/>
        <v/>
      </c>
      <c r="I151" s="148" t="e">
        <f t="shared" si="21"/>
        <v>#VALUE!</v>
      </c>
      <c r="J151" s="148">
        <f>SUM($H$18:$H151)</f>
        <v>0</v>
      </c>
    </row>
    <row r="152" spans="1:10" x14ac:dyDescent="0.2">
      <c r="A152" s="151" t="str">
        <f>IF(Values_Entered,A151+1,"")</f>
        <v/>
      </c>
      <c r="B152" s="150" t="str">
        <f t="shared" si="16"/>
        <v/>
      </c>
      <c r="C152" s="148" t="str">
        <f t="shared" si="22"/>
        <v/>
      </c>
      <c r="D152" s="148" t="str">
        <f t="shared" si="17"/>
        <v/>
      </c>
      <c r="E152" s="149" t="e">
        <f t="shared" si="18"/>
        <v>#VALUE!</v>
      </c>
      <c r="F152" s="148" t="e">
        <f t="shared" si="19"/>
        <v>#VALUE!</v>
      </c>
      <c r="G152" s="148" t="str">
        <f t="shared" si="20"/>
        <v/>
      </c>
      <c r="H152" s="148" t="str">
        <f t="shared" si="23"/>
        <v/>
      </c>
      <c r="I152" s="148" t="e">
        <f t="shared" si="21"/>
        <v>#VALUE!</v>
      </c>
      <c r="J152" s="148">
        <f>SUM($H$18:$H152)</f>
        <v>0</v>
      </c>
    </row>
    <row r="153" spans="1:10" x14ac:dyDescent="0.2">
      <c r="A153" s="151" t="str">
        <f>IF(Values_Entered,A152+1,"")</f>
        <v/>
      </c>
      <c r="B153" s="150" t="str">
        <f t="shared" si="16"/>
        <v/>
      </c>
      <c r="C153" s="148" t="str">
        <f t="shared" si="22"/>
        <v/>
      </c>
      <c r="D153" s="148" t="str">
        <f t="shared" si="17"/>
        <v/>
      </c>
      <c r="E153" s="149" t="e">
        <f t="shared" si="18"/>
        <v>#VALUE!</v>
      </c>
      <c r="F153" s="148" t="e">
        <f t="shared" si="19"/>
        <v>#VALUE!</v>
      </c>
      <c r="G153" s="148" t="str">
        <f t="shared" si="20"/>
        <v/>
      </c>
      <c r="H153" s="148" t="str">
        <f t="shared" si="23"/>
        <v/>
      </c>
      <c r="I153" s="148" t="e">
        <f t="shared" si="21"/>
        <v>#VALUE!</v>
      </c>
      <c r="J153" s="148">
        <f>SUM($H$18:$H153)</f>
        <v>0</v>
      </c>
    </row>
    <row r="154" spans="1:10" x14ac:dyDescent="0.2">
      <c r="A154" s="151" t="str">
        <f>IF(Values_Entered,A153+1,"")</f>
        <v/>
      </c>
      <c r="B154" s="150" t="str">
        <f t="shared" si="16"/>
        <v/>
      </c>
      <c r="C154" s="148" t="str">
        <f t="shared" si="22"/>
        <v/>
      </c>
      <c r="D154" s="148" t="str">
        <f t="shared" si="17"/>
        <v/>
      </c>
      <c r="E154" s="149" t="e">
        <f t="shared" si="18"/>
        <v>#VALUE!</v>
      </c>
      <c r="F154" s="148" t="e">
        <f t="shared" si="19"/>
        <v>#VALUE!</v>
      </c>
      <c r="G154" s="148" t="str">
        <f t="shared" si="20"/>
        <v/>
      </c>
      <c r="H154" s="148" t="str">
        <f t="shared" si="23"/>
        <v/>
      </c>
      <c r="I154" s="148" t="e">
        <f t="shared" si="21"/>
        <v>#VALUE!</v>
      </c>
      <c r="J154" s="148">
        <f>SUM($H$18:$H154)</f>
        <v>0</v>
      </c>
    </row>
    <row r="155" spans="1:10" x14ac:dyDescent="0.2">
      <c r="A155" s="151" t="str">
        <f>IF(Values_Entered,A154+1,"")</f>
        <v/>
      </c>
      <c r="B155" s="150" t="str">
        <f t="shared" si="16"/>
        <v/>
      </c>
      <c r="C155" s="148" t="str">
        <f t="shared" si="22"/>
        <v/>
      </c>
      <c r="D155" s="148" t="str">
        <f t="shared" si="17"/>
        <v/>
      </c>
      <c r="E155" s="149" t="e">
        <f t="shared" si="18"/>
        <v>#VALUE!</v>
      </c>
      <c r="F155" s="148" t="e">
        <f t="shared" si="19"/>
        <v>#VALUE!</v>
      </c>
      <c r="G155" s="148" t="str">
        <f t="shared" si="20"/>
        <v/>
      </c>
      <c r="H155" s="148" t="str">
        <f t="shared" si="23"/>
        <v/>
      </c>
      <c r="I155" s="148" t="e">
        <f t="shared" si="21"/>
        <v>#VALUE!</v>
      </c>
      <c r="J155" s="148">
        <f>SUM($H$18:$H155)</f>
        <v>0</v>
      </c>
    </row>
    <row r="156" spans="1:10" x14ac:dyDescent="0.2">
      <c r="A156" s="151" t="str">
        <f>IF(Values_Entered,A155+1,"")</f>
        <v/>
      </c>
      <c r="B156" s="150" t="str">
        <f t="shared" si="16"/>
        <v/>
      </c>
      <c r="C156" s="148" t="str">
        <f t="shared" si="22"/>
        <v/>
      </c>
      <c r="D156" s="148" t="str">
        <f t="shared" si="17"/>
        <v/>
      </c>
      <c r="E156" s="149" t="e">
        <f t="shared" si="18"/>
        <v>#VALUE!</v>
      </c>
      <c r="F156" s="148" t="e">
        <f t="shared" si="19"/>
        <v>#VALUE!</v>
      </c>
      <c r="G156" s="148" t="str">
        <f t="shared" si="20"/>
        <v/>
      </c>
      <c r="H156" s="148" t="str">
        <f t="shared" si="23"/>
        <v/>
      </c>
      <c r="I156" s="148" t="e">
        <f t="shared" si="21"/>
        <v>#VALUE!</v>
      </c>
      <c r="J156" s="148">
        <f>SUM($H$18:$H156)</f>
        <v>0</v>
      </c>
    </row>
    <row r="157" spans="1:10" x14ac:dyDescent="0.2">
      <c r="A157" s="151" t="str">
        <f>IF(Values_Entered,A156+1,"")</f>
        <v/>
      </c>
      <c r="B157" s="150" t="str">
        <f t="shared" si="16"/>
        <v/>
      </c>
      <c r="C157" s="148" t="str">
        <f t="shared" si="22"/>
        <v/>
      </c>
      <c r="D157" s="148" t="str">
        <f t="shared" si="17"/>
        <v/>
      </c>
      <c r="E157" s="149" t="e">
        <f t="shared" si="18"/>
        <v>#VALUE!</v>
      </c>
      <c r="F157" s="148" t="e">
        <f t="shared" si="19"/>
        <v>#VALUE!</v>
      </c>
      <c r="G157" s="148" t="str">
        <f t="shared" si="20"/>
        <v/>
      </c>
      <c r="H157" s="148" t="str">
        <f t="shared" si="23"/>
        <v/>
      </c>
      <c r="I157" s="148" t="e">
        <f t="shared" si="21"/>
        <v>#VALUE!</v>
      </c>
      <c r="J157" s="148">
        <f>SUM($H$18:$H157)</f>
        <v>0</v>
      </c>
    </row>
    <row r="158" spans="1:10" x14ac:dyDescent="0.2">
      <c r="A158" s="151" t="str">
        <f>IF(Values_Entered,A157+1,"")</f>
        <v/>
      </c>
      <c r="B158" s="150" t="str">
        <f t="shared" si="16"/>
        <v/>
      </c>
      <c r="C158" s="148" t="str">
        <f t="shared" si="22"/>
        <v/>
      </c>
      <c r="D158" s="148" t="str">
        <f t="shared" si="17"/>
        <v/>
      </c>
      <c r="E158" s="149" t="e">
        <f t="shared" si="18"/>
        <v>#VALUE!</v>
      </c>
      <c r="F158" s="148" t="e">
        <f t="shared" si="19"/>
        <v>#VALUE!</v>
      </c>
      <c r="G158" s="148" t="str">
        <f t="shared" si="20"/>
        <v/>
      </c>
      <c r="H158" s="148" t="str">
        <f t="shared" si="23"/>
        <v/>
      </c>
      <c r="I158" s="148" t="e">
        <f t="shared" si="21"/>
        <v>#VALUE!</v>
      </c>
      <c r="J158" s="148">
        <f>SUM($H$18:$H158)</f>
        <v>0</v>
      </c>
    </row>
    <row r="159" spans="1:10" x14ac:dyDescent="0.2">
      <c r="A159" s="151" t="str">
        <f>IF(Values_Entered,A158+1,"")</f>
        <v/>
      </c>
      <c r="B159" s="150" t="str">
        <f t="shared" si="16"/>
        <v/>
      </c>
      <c r="C159" s="148" t="str">
        <f t="shared" si="22"/>
        <v/>
      </c>
      <c r="D159" s="148" t="str">
        <f t="shared" si="17"/>
        <v/>
      </c>
      <c r="E159" s="149" t="e">
        <f t="shared" si="18"/>
        <v>#VALUE!</v>
      </c>
      <c r="F159" s="148" t="e">
        <f t="shared" si="19"/>
        <v>#VALUE!</v>
      </c>
      <c r="G159" s="148" t="str">
        <f t="shared" si="20"/>
        <v/>
      </c>
      <c r="H159" s="148" t="str">
        <f t="shared" si="23"/>
        <v/>
      </c>
      <c r="I159" s="148" t="e">
        <f t="shared" si="21"/>
        <v>#VALUE!</v>
      </c>
      <c r="J159" s="148">
        <f>SUM($H$18:$H159)</f>
        <v>0</v>
      </c>
    </row>
    <row r="160" spans="1:10" x14ac:dyDescent="0.2">
      <c r="A160" s="151" t="str">
        <f>IF(Values_Entered,A159+1,"")</f>
        <v/>
      </c>
      <c r="B160" s="150" t="str">
        <f t="shared" si="16"/>
        <v/>
      </c>
      <c r="C160" s="148" t="str">
        <f t="shared" si="22"/>
        <v/>
      </c>
      <c r="D160" s="148" t="str">
        <f t="shared" si="17"/>
        <v/>
      </c>
      <c r="E160" s="149" t="e">
        <f t="shared" si="18"/>
        <v>#VALUE!</v>
      </c>
      <c r="F160" s="148" t="e">
        <f t="shared" si="19"/>
        <v>#VALUE!</v>
      </c>
      <c r="G160" s="148" t="str">
        <f t="shared" si="20"/>
        <v/>
      </c>
      <c r="H160" s="148" t="str">
        <f t="shared" si="23"/>
        <v/>
      </c>
      <c r="I160" s="148" t="e">
        <f t="shared" si="21"/>
        <v>#VALUE!</v>
      </c>
      <c r="J160" s="148">
        <f>SUM($H$18:$H160)</f>
        <v>0</v>
      </c>
    </row>
    <row r="161" spans="1:10" x14ac:dyDescent="0.2">
      <c r="A161" s="151" t="str">
        <f>IF(Values_Entered,A160+1,"")</f>
        <v/>
      </c>
      <c r="B161" s="150" t="str">
        <f t="shared" si="16"/>
        <v/>
      </c>
      <c r="C161" s="148" t="str">
        <f t="shared" si="22"/>
        <v/>
      </c>
      <c r="D161" s="148" t="str">
        <f t="shared" si="17"/>
        <v/>
      </c>
      <c r="E161" s="149" t="e">
        <f t="shared" si="18"/>
        <v>#VALUE!</v>
      </c>
      <c r="F161" s="148" t="e">
        <f t="shared" si="19"/>
        <v>#VALUE!</v>
      </c>
      <c r="G161" s="148" t="str">
        <f t="shared" si="20"/>
        <v/>
      </c>
      <c r="H161" s="148" t="str">
        <f t="shared" si="23"/>
        <v/>
      </c>
      <c r="I161" s="148" t="e">
        <f t="shared" si="21"/>
        <v>#VALUE!</v>
      </c>
      <c r="J161" s="148">
        <f>SUM($H$18:$H161)</f>
        <v>0</v>
      </c>
    </row>
    <row r="162" spans="1:10" x14ac:dyDescent="0.2">
      <c r="A162" s="151" t="str">
        <f>IF(Values_Entered,A161+1,"")</f>
        <v/>
      </c>
      <c r="B162" s="150" t="str">
        <f t="shared" si="16"/>
        <v/>
      </c>
      <c r="C162" s="148" t="str">
        <f t="shared" si="22"/>
        <v/>
      </c>
      <c r="D162" s="148" t="str">
        <f t="shared" si="17"/>
        <v/>
      </c>
      <c r="E162" s="149" t="e">
        <f t="shared" si="18"/>
        <v>#VALUE!</v>
      </c>
      <c r="F162" s="148" t="e">
        <f t="shared" si="19"/>
        <v>#VALUE!</v>
      </c>
      <c r="G162" s="148" t="str">
        <f t="shared" si="20"/>
        <v/>
      </c>
      <c r="H162" s="148" t="str">
        <f t="shared" si="23"/>
        <v/>
      </c>
      <c r="I162" s="148" t="e">
        <f t="shared" si="21"/>
        <v>#VALUE!</v>
      </c>
      <c r="J162" s="148">
        <f>SUM($H$18:$H162)</f>
        <v>0</v>
      </c>
    </row>
    <row r="163" spans="1:10" x14ac:dyDescent="0.2">
      <c r="A163" s="151" t="str">
        <f>IF(Values_Entered,A162+1,"")</f>
        <v/>
      </c>
      <c r="B163" s="150" t="str">
        <f t="shared" si="16"/>
        <v/>
      </c>
      <c r="C163" s="148" t="str">
        <f t="shared" si="22"/>
        <v/>
      </c>
      <c r="D163" s="148" t="str">
        <f t="shared" si="17"/>
        <v/>
      </c>
      <c r="E163" s="149" t="e">
        <f t="shared" si="18"/>
        <v>#VALUE!</v>
      </c>
      <c r="F163" s="148" t="e">
        <f t="shared" si="19"/>
        <v>#VALUE!</v>
      </c>
      <c r="G163" s="148" t="str">
        <f t="shared" si="20"/>
        <v/>
      </c>
      <c r="H163" s="148" t="str">
        <f t="shared" si="23"/>
        <v/>
      </c>
      <c r="I163" s="148" t="e">
        <f t="shared" si="21"/>
        <v>#VALUE!</v>
      </c>
      <c r="J163" s="148">
        <f>SUM($H$18:$H163)</f>
        <v>0</v>
      </c>
    </row>
    <row r="164" spans="1:10" x14ac:dyDescent="0.2">
      <c r="A164" s="151" t="str">
        <f>IF(Values_Entered,A163+1,"")</f>
        <v/>
      </c>
      <c r="B164" s="150" t="str">
        <f t="shared" si="16"/>
        <v/>
      </c>
      <c r="C164" s="148" t="str">
        <f t="shared" si="22"/>
        <v/>
      </c>
      <c r="D164" s="148" t="str">
        <f t="shared" si="17"/>
        <v/>
      </c>
      <c r="E164" s="149" t="e">
        <f t="shared" si="18"/>
        <v>#VALUE!</v>
      </c>
      <c r="F164" s="148" t="e">
        <f t="shared" si="19"/>
        <v>#VALUE!</v>
      </c>
      <c r="G164" s="148" t="str">
        <f t="shared" si="20"/>
        <v/>
      </c>
      <c r="H164" s="148" t="str">
        <f t="shared" si="23"/>
        <v/>
      </c>
      <c r="I164" s="148" t="e">
        <f t="shared" si="21"/>
        <v>#VALUE!</v>
      </c>
      <c r="J164" s="148">
        <f>SUM($H$18:$H164)</f>
        <v>0</v>
      </c>
    </row>
    <row r="165" spans="1:10" x14ac:dyDescent="0.2">
      <c r="A165" s="151" t="str">
        <f>IF(Values_Entered,A164+1,"")</f>
        <v/>
      </c>
      <c r="B165" s="150" t="str">
        <f t="shared" si="16"/>
        <v/>
      </c>
      <c r="C165" s="148" t="str">
        <f t="shared" si="22"/>
        <v/>
      </c>
      <c r="D165" s="148" t="str">
        <f t="shared" si="17"/>
        <v/>
      </c>
      <c r="E165" s="149" t="e">
        <f t="shared" si="18"/>
        <v>#VALUE!</v>
      </c>
      <c r="F165" s="148" t="e">
        <f t="shared" si="19"/>
        <v>#VALUE!</v>
      </c>
      <c r="G165" s="148" t="str">
        <f t="shared" si="20"/>
        <v/>
      </c>
      <c r="H165" s="148" t="str">
        <f t="shared" si="23"/>
        <v/>
      </c>
      <c r="I165" s="148" t="e">
        <f t="shared" si="21"/>
        <v>#VALUE!</v>
      </c>
      <c r="J165" s="148">
        <f>SUM($H$18:$H165)</f>
        <v>0</v>
      </c>
    </row>
    <row r="166" spans="1:10" x14ac:dyDescent="0.2">
      <c r="A166" s="151" t="str">
        <f>IF(Values_Entered,A165+1,"")</f>
        <v/>
      </c>
      <c r="B166" s="150" t="str">
        <f t="shared" si="16"/>
        <v/>
      </c>
      <c r="C166" s="148" t="str">
        <f t="shared" si="22"/>
        <v/>
      </c>
      <c r="D166" s="148" t="str">
        <f t="shared" si="17"/>
        <v/>
      </c>
      <c r="E166" s="149" t="e">
        <f t="shared" si="18"/>
        <v>#VALUE!</v>
      </c>
      <c r="F166" s="148" t="e">
        <f t="shared" si="19"/>
        <v>#VALUE!</v>
      </c>
      <c r="G166" s="148" t="str">
        <f t="shared" si="20"/>
        <v/>
      </c>
      <c r="H166" s="148" t="str">
        <f t="shared" si="23"/>
        <v/>
      </c>
      <c r="I166" s="148" t="e">
        <f t="shared" si="21"/>
        <v>#VALUE!</v>
      </c>
      <c r="J166" s="148">
        <f>SUM($H$18:$H166)</f>
        <v>0</v>
      </c>
    </row>
    <row r="167" spans="1:10" x14ac:dyDescent="0.2">
      <c r="A167" s="151" t="str">
        <f>IF(Values_Entered,A166+1,"")</f>
        <v/>
      </c>
      <c r="B167" s="150" t="str">
        <f t="shared" si="16"/>
        <v/>
      </c>
      <c r="C167" s="148" t="str">
        <f t="shared" si="22"/>
        <v/>
      </c>
      <c r="D167" s="148" t="str">
        <f t="shared" si="17"/>
        <v/>
      </c>
      <c r="E167" s="149" t="e">
        <f t="shared" si="18"/>
        <v>#VALUE!</v>
      </c>
      <c r="F167" s="148" t="e">
        <f t="shared" si="19"/>
        <v>#VALUE!</v>
      </c>
      <c r="G167" s="148" t="str">
        <f t="shared" si="20"/>
        <v/>
      </c>
      <c r="H167" s="148" t="str">
        <f t="shared" si="23"/>
        <v/>
      </c>
      <c r="I167" s="148" t="e">
        <f t="shared" si="21"/>
        <v>#VALUE!</v>
      </c>
      <c r="J167" s="148">
        <f>SUM($H$18:$H167)</f>
        <v>0</v>
      </c>
    </row>
    <row r="168" spans="1:10" x14ac:dyDescent="0.2">
      <c r="A168" s="151" t="str">
        <f>IF(Values_Entered,A167+1,"")</f>
        <v/>
      </c>
      <c r="B168" s="150" t="str">
        <f t="shared" si="16"/>
        <v/>
      </c>
      <c r="C168" s="148" t="str">
        <f t="shared" si="22"/>
        <v/>
      </c>
      <c r="D168" s="148" t="str">
        <f t="shared" si="17"/>
        <v/>
      </c>
      <c r="E168" s="149" t="e">
        <f t="shared" si="18"/>
        <v>#VALUE!</v>
      </c>
      <c r="F168" s="148" t="e">
        <f t="shared" si="19"/>
        <v>#VALUE!</v>
      </c>
      <c r="G168" s="148" t="str">
        <f t="shared" si="20"/>
        <v/>
      </c>
      <c r="H168" s="148" t="str">
        <f t="shared" si="23"/>
        <v/>
      </c>
      <c r="I168" s="148" t="e">
        <f t="shared" si="21"/>
        <v>#VALUE!</v>
      </c>
      <c r="J168" s="148">
        <f>SUM($H$18:$H168)</f>
        <v>0</v>
      </c>
    </row>
    <row r="169" spans="1:10" x14ac:dyDescent="0.2">
      <c r="A169" s="151" t="str">
        <f>IF(Values_Entered,A168+1,"")</f>
        <v/>
      </c>
      <c r="B169" s="150" t="str">
        <f t="shared" si="16"/>
        <v/>
      </c>
      <c r="C169" s="148" t="str">
        <f t="shared" si="22"/>
        <v/>
      </c>
      <c r="D169" s="148" t="str">
        <f t="shared" si="17"/>
        <v/>
      </c>
      <c r="E169" s="149" t="e">
        <f t="shared" si="18"/>
        <v>#VALUE!</v>
      </c>
      <c r="F169" s="148" t="e">
        <f t="shared" si="19"/>
        <v>#VALUE!</v>
      </c>
      <c r="G169" s="148" t="str">
        <f t="shared" si="20"/>
        <v/>
      </c>
      <c r="H169" s="148" t="str">
        <f t="shared" si="23"/>
        <v/>
      </c>
      <c r="I169" s="148" t="e">
        <f t="shared" si="21"/>
        <v>#VALUE!</v>
      </c>
      <c r="J169" s="148">
        <f>SUM($H$18:$H169)</f>
        <v>0</v>
      </c>
    </row>
    <row r="170" spans="1:10" x14ac:dyDescent="0.2">
      <c r="A170" s="151" t="str">
        <f>IF(Values_Entered,A169+1,"")</f>
        <v/>
      </c>
      <c r="B170" s="150" t="str">
        <f t="shared" si="16"/>
        <v/>
      </c>
      <c r="C170" s="148" t="str">
        <f t="shared" si="22"/>
        <v/>
      </c>
      <c r="D170" s="148" t="str">
        <f t="shared" si="17"/>
        <v/>
      </c>
      <c r="E170" s="149" t="e">
        <f t="shared" si="18"/>
        <v>#VALUE!</v>
      </c>
      <c r="F170" s="148" t="e">
        <f t="shared" si="19"/>
        <v>#VALUE!</v>
      </c>
      <c r="G170" s="148" t="str">
        <f t="shared" si="20"/>
        <v/>
      </c>
      <c r="H170" s="148" t="str">
        <f t="shared" si="23"/>
        <v/>
      </c>
      <c r="I170" s="148" t="e">
        <f t="shared" si="21"/>
        <v>#VALUE!</v>
      </c>
      <c r="J170" s="148">
        <f>SUM($H$18:$H170)</f>
        <v>0</v>
      </c>
    </row>
    <row r="171" spans="1:10" x14ac:dyDescent="0.2">
      <c r="A171" s="151" t="str">
        <f>IF(Values_Entered,A170+1,"")</f>
        <v/>
      </c>
      <c r="B171" s="150" t="str">
        <f t="shared" si="16"/>
        <v/>
      </c>
      <c r="C171" s="148" t="str">
        <f t="shared" si="22"/>
        <v/>
      </c>
      <c r="D171" s="148" t="str">
        <f t="shared" si="17"/>
        <v/>
      </c>
      <c r="E171" s="149" t="e">
        <f t="shared" si="18"/>
        <v>#VALUE!</v>
      </c>
      <c r="F171" s="148" t="e">
        <f t="shared" si="19"/>
        <v>#VALUE!</v>
      </c>
      <c r="G171" s="148" t="str">
        <f t="shared" si="20"/>
        <v/>
      </c>
      <c r="H171" s="148" t="str">
        <f t="shared" si="23"/>
        <v/>
      </c>
      <c r="I171" s="148" t="e">
        <f t="shared" si="21"/>
        <v>#VALUE!</v>
      </c>
      <c r="J171" s="148">
        <f>SUM($H$18:$H171)</f>
        <v>0</v>
      </c>
    </row>
    <row r="172" spans="1:10" x14ac:dyDescent="0.2">
      <c r="A172" s="151" t="str">
        <f>IF(Values_Entered,A171+1,"")</f>
        <v/>
      </c>
      <c r="B172" s="150" t="str">
        <f t="shared" si="16"/>
        <v/>
      </c>
      <c r="C172" s="148" t="str">
        <f t="shared" si="22"/>
        <v/>
      </c>
      <c r="D172" s="148" t="str">
        <f t="shared" si="17"/>
        <v/>
      </c>
      <c r="E172" s="149" t="e">
        <f t="shared" si="18"/>
        <v>#VALUE!</v>
      </c>
      <c r="F172" s="148" t="e">
        <f t="shared" si="19"/>
        <v>#VALUE!</v>
      </c>
      <c r="G172" s="148" t="str">
        <f t="shared" si="20"/>
        <v/>
      </c>
      <c r="H172" s="148" t="str">
        <f t="shared" si="23"/>
        <v/>
      </c>
      <c r="I172" s="148" t="e">
        <f t="shared" si="21"/>
        <v>#VALUE!</v>
      </c>
      <c r="J172" s="148">
        <f>SUM($H$18:$H172)</f>
        <v>0</v>
      </c>
    </row>
    <row r="173" spans="1:10" x14ac:dyDescent="0.2">
      <c r="A173" s="151" t="str">
        <f>IF(Values_Entered,A172+1,"")</f>
        <v/>
      </c>
      <c r="B173" s="150" t="str">
        <f t="shared" si="16"/>
        <v/>
      </c>
      <c r="C173" s="148" t="str">
        <f t="shared" si="22"/>
        <v/>
      </c>
      <c r="D173" s="148" t="str">
        <f t="shared" si="17"/>
        <v/>
      </c>
      <c r="E173" s="149" t="e">
        <f t="shared" si="18"/>
        <v>#VALUE!</v>
      </c>
      <c r="F173" s="148" t="e">
        <f t="shared" si="19"/>
        <v>#VALUE!</v>
      </c>
      <c r="G173" s="148" t="str">
        <f t="shared" si="20"/>
        <v/>
      </c>
      <c r="H173" s="148" t="str">
        <f t="shared" si="23"/>
        <v/>
      </c>
      <c r="I173" s="148" t="e">
        <f t="shared" si="21"/>
        <v>#VALUE!</v>
      </c>
      <c r="J173" s="148">
        <f>SUM($H$18:$H173)</f>
        <v>0</v>
      </c>
    </row>
    <row r="174" spans="1:10" x14ac:dyDescent="0.2">
      <c r="A174" s="151" t="str">
        <f>IF(Values_Entered,A173+1,"")</f>
        <v/>
      </c>
      <c r="B174" s="150" t="str">
        <f t="shared" si="16"/>
        <v/>
      </c>
      <c r="C174" s="148" t="str">
        <f t="shared" si="22"/>
        <v/>
      </c>
      <c r="D174" s="148" t="str">
        <f t="shared" si="17"/>
        <v/>
      </c>
      <c r="E174" s="149" t="e">
        <f t="shared" si="18"/>
        <v>#VALUE!</v>
      </c>
      <c r="F174" s="148" t="e">
        <f t="shared" si="19"/>
        <v>#VALUE!</v>
      </c>
      <c r="G174" s="148" t="str">
        <f t="shared" si="20"/>
        <v/>
      </c>
      <c r="H174" s="148" t="str">
        <f t="shared" si="23"/>
        <v/>
      </c>
      <c r="I174" s="148" t="e">
        <f t="shared" si="21"/>
        <v>#VALUE!</v>
      </c>
      <c r="J174" s="148">
        <f>SUM($H$18:$H174)</f>
        <v>0</v>
      </c>
    </row>
    <row r="175" spans="1:10" x14ac:dyDescent="0.2">
      <c r="A175" s="151" t="str">
        <f>IF(Values_Entered,A174+1,"")</f>
        <v/>
      </c>
      <c r="B175" s="150" t="str">
        <f t="shared" si="16"/>
        <v/>
      </c>
      <c r="C175" s="148" t="str">
        <f t="shared" si="22"/>
        <v/>
      </c>
      <c r="D175" s="148" t="str">
        <f t="shared" si="17"/>
        <v/>
      </c>
      <c r="E175" s="149" t="e">
        <f t="shared" si="18"/>
        <v>#VALUE!</v>
      </c>
      <c r="F175" s="148" t="e">
        <f t="shared" si="19"/>
        <v>#VALUE!</v>
      </c>
      <c r="G175" s="148" t="str">
        <f t="shared" si="20"/>
        <v/>
      </c>
      <c r="H175" s="148" t="str">
        <f t="shared" si="23"/>
        <v/>
      </c>
      <c r="I175" s="148" t="e">
        <f t="shared" si="21"/>
        <v>#VALUE!</v>
      </c>
      <c r="J175" s="148">
        <f>SUM($H$18:$H175)</f>
        <v>0</v>
      </c>
    </row>
    <row r="176" spans="1:10" x14ac:dyDescent="0.2">
      <c r="A176" s="151" t="str">
        <f>IF(Values_Entered,A175+1,"")</f>
        <v/>
      </c>
      <c r="B176" s="150" t="str">
        <f t="shared" si="16"/>
        <v/>
      </c>
      <c r="C176" s="148" t="str">
        <f t="shared" si="22"/>
        <v/>
      </c>
      <c r="D176" s="148" t="str">
        <f t="shared" si="17"/>
        <v/>
      </c>
      <c r="E176" s="149" t="e">
        <f t="shared" si="18"/>
        <v>#VALUE!</v>
      </c>
      <c r="F176" s="148" t="e">
        <f t="shared" si="19"/>
        <v>#VALUE!</v>
      </c>
      <c r="G176" s="148" t="str">
        <f t="shared" si="20"/>
        <v/>
      </c>
      <c r="H176" s="148" t="str">
        <f t="shared" si="23"/>
        <v/>
      </c>
      <c r="I176" s="148" t="e">
        <f t="shared" si="21"/>
        <v>#VALUE!</v>
      </c>
      <c r="J176" s="148">
        <f>SUM($H$18:$H176)</f>
        <v>0</v>
      </c>
    </row>
    <row r="177" spans="1:10" x14ac:dyDescent="0.2">
      <c r="A177" s="151" t="str">
        <f>IF(Values_Entered,A176+1,"")</f>
        <v/>
      </c>
      <c r="B177" s="150" t="str">
        <f t="shared" si="16"/>
        <v/>
      </c>
      <c r="C177" s="148" t="str">
        <f t="shared" si="22"/>
        <v/>
      </c>
      <c r="D177" s="148" t="str">
        <f t="shared" si="17"/>
        <v/>
      </c>
      <c r="E177" s="149" t="e">
        <f t="shared" si="18"/>
        <v>#VALUE!</v>
      </c>
      <c r="F177" s="148" t="e">
        <f t="shared" si="19"/>
        <v>#VALUE!</v>
      </c>
      <c r="G177" s="148" t="str">
        <f t="shared" si="20"/>
        <v/>
      </c>
      <c r="H177" s="148" t="str">
        <f t="shared" si="23"/>
        <v/>
      </c>
      <c r="I177" s="148" t="e">
        <f t="shared" si="21"/>
        <v>#VALUE!</v>
      </c>
      <c r="J177" s="148">
        <f>SUM($H$18:$H177)</f>
        <v>0</v>
      </c>
    </row>
    <row r="178" spans="1:10" x14ac:dyDescent="0.2">
      <c r="A178" s="151" t="str">
        <f>IF(Values_Entered,A177+1,"")</f>
        <v/>
      </c>
      <c r="B178" s="150" t="str">
        <f t="shared" si="16"/>
        <v/>
      </c>
      <c r="C178" s="148" t="str">
        <f t="shared" si="22"/>
        <v/>
      </c>
      <c r="D178" s="148" t="str">
        <f t="shared" si="17"/>
        <v/>
      </c>
      <c r="E178" s="149" t="e">
        <f t="shared" si="18"/>
        <v>#VALUE!</v>
      </c>
      <c r="F178" s="148" t="e">
        <f t="shared" si="19"/>
        <v>#VALUE!</v>
      </c>
      <c r="G178" s="148" t="str">
        <f t="shared" si="20"/>
        <v/>
      </c>
      <c r="H178" s="148" t="str">
        <f t="shared" si="23"/>
        <v/>
      </c>
      <c r="I178" s="148" t="e">
        <f t="shared" si="21"/>
        <v>#VALUE!</v>
      </c>
      <c r="J178" s="148">
        <f>SUM($H$18:$H178)</f>
        <v>0</v>
      </c>
    </row>
    <row r="179" spans="1:10" x14ac:dyDescent="0.2">
      <c r="A179" s="151" t="str">
        <f>IF(Values_Entered,A178+1,"")</f>
        <v/>
      </c>
      <c r="B179" s="150" t="str">
        <f t="shared" si="16"/>
        <v/>
      </c>
      <c r="C179" s="148" t="str">
        <f t="shared" si="22"/>
        <v/>
      </c>
      <c r="D179" s="148" t="str">
        <f t="shared" si="17"/>
        <v/>
      </c>
      <c r="E179" s="149" t="e">
        <f t="shared" si="18"/>
        <v>#VALUE!</v>
      </c>
      <c r="F179" s="148" t="e">
        <f t="shared" si="19"/>
        <v>#VALUE!</v>
      </c>
      <c r="G179" s="148" t="str">
        <f t="shared" si="20"/>
        <v/>
      </c>
      <c r="H179" s="148" t="str">
        <f t="shared" si="23"/>
        <v/>
      </c>
      <c r="I179" s="148" t="e">
        <f t="shared" si="21"/>
        <v>#VALUE!</v>
      </c>
      <c r="J179" s="148">
        <f>SUM($H$18:$H179)</f>
        <v>0</v>
      </c>
    </row>
    <row r="180" spans="1:10" x14ac:dyDescent="0.2">
      <c r="A180" s="151" t="str">
        <f>IF(Values_Entered,A179+1,"")</f>
        <v/>
      </c>
      <c r="B180" s="150" t="str">
        <f t="shared" si="16"/>
        <v/>
      </c>
      <c r="C180" s="148" t="str">
        <f t="shared" si="22"/>
        <v/>
      </c>
      <c r="D180" s="148" t="str">
        <f t="shared" si="17"/>
        <v/>
      </c>
      <c r="E180" s="149" t="e">
        <f t="shared" si="18"/>
        <v>#VALUE!</v>
      </c>
      <c r="F180" s="148" t="e">
        <f t="shared" si="19"/>
        <v>#VALUE!</v>
      </c>
      <c r="G180" s="148" t="str">
        <f t="shared" si="20"/>
        <v/>
      </c>
      <c r="H180" s="148" t="str">
        <f t="shared" si="23"/>
        <v/>
      </c>
      <c r="I180" s="148" t="e">
        <f t="shared" si="21"/>
        <v>#VALUE!</v>
      </c>
      <c r="J180" s="148">
        <f>SUM($H$18:$H180)</f>
        <v>0</v>
      </c>
    </row>
    <row r="181" spans="1:10" x14ac:dyDescent="0.2">
      <c r="A181" s="151" t="str">
        <f>IF(Values_Entered,A180+1,"")</f>
        <v/>
      </c>
      <c r="B181" s="150" t="str">
        <f t="shared" si="16"/>
        <v/>
      </c>
      <c r="C181" s="148" t="str">
        <f t="shared" si="22"/>
        <v/>
      </c>
      <c r="D181" s="148" t="str">
        <f t="shared" si="17"/>
        <v/>
      </c>
      <c r="E181" s="149" t="e">
        <f t="shared" si="18"/>
        <v>#VALUE!</v>
      </c>
      <c r="F181" s="148" t="e">
        <f t="shared" si="19"/>
        <v>#VALUE!</v>
      </c>
      <c r="G181" s="148" t="str">
        <f t="shared" si="20"/>
        <v/>
      </c>
      <c r="H181" s="148" t="str">
        <f t="shared" si="23"/>
        <v/>
      </c>
      <c r="I181" s="148" t="e">
        <f t="shared" si="21"/>
        <v>#VALUE!</v>
      </c>
      <c r="J181" s="148">
        <f>SUM($H$18:$H181)</f>
        <v>0</v>
      </c>
    </row>
    <row r="182" spans="1:10" x14ac:dyDescent="0.2">
      <c r="A182" s="151" t="str">
        <f>IF(Values_Entered,A181+1,"")</f>
        <v/>
      </c>
      <c r="B182" s="150" t="str">
        <f t="shared" si="16"/>
        <v/>
      </c>
      <c r="C182" s="148" t="str">
        <f t="shared" si="22"/>
        <v/>
      </c>
      <c r="D182" s="148" t="str">
        <f t="shared" si="17"/>
        <v/>
      </c>
      <c r="E182" s="149" t="e">
        <f t="shared" si="18"/>
        <v>#VALUE!</v>
      </c>
      <c r="F182" s="148" t="e">
        <f t="shared" si="19"/>
        <v>#VALUE!</v>
      </c>
      <c r="G182" s="148" t="str">
        <f t="shared" si="20"/>
        <v/>
      </c>
      <c r="H182" s="148" t="str">
        <f t="shared" si="23"/>
        <v/>
      </c>
      <c r="I182" s="148" t="e">
        <f t="shared" si="21"/>
        <v>#VALUE!</v>
      </c>
      <c r="J182" s="148">
        <f>SUM($H$18:$H182)</f>
        <v>0</v>
      </c>
    </row>
    <row r="183" spans="1:10" x14ac:dyDescent="0.2">
      <c r="A183" s="151" t="str">
        <f>IF(Values_Entered,A182+1,"")</f>
        <v/>
      </c>
      <c r="B183" s="150" t="str">
        <f t="shared" si="16"/>
        <v/>
      </c>
      <c r="C183" s="148" t="str">
        <f t="shared" si="22"/>
        <v/>
      </c>
      <c r="D183" s="148" t="str">
        <f t="shared" si="17"/>
        <v/>
      </c>
      <c r="E183" s="149" t="e">
        <f t="shared" si="18"/>
        <v>#VALUE!</v>
      </c>
      <c r="F183" s="148" t="e">
        <f t="shared" si="19"/>
        <v>#VALUE!</v>
      </c>
      <c r="G183" s="148" t="str">
        <f t="shared" si="20"/>
        <v/>
      </c>
      <c r="H183" s="148" t="str">
        <f t="shared" si="23"/>
        <v/>
      </c>
      <c r="I183" s="148" t="e">
        <f t="shared" si="21"/>
        <v>#VALUE!</v>
      </c>
      <c r="J183" s="148">
        <f>SUM($H$18:$H183)</f>
        <v>0</v>
      </c>
    </row>
    <row r="184" spans="1:10" x14ac:dyDescent="0.2">
      <c r="A184" s="151" t="str">
        <f>IF(Values_Entered,A183+1,"")</f>
        <v/>
      </c>
      <c r="B184" s="150" t="str">
        <f t="shared" si="16"/>
        <v/>
      </c>
      <c r="C184" s="148" t="str">
        <f t="shared" si="22"/>
        <v/>
      </c>
      <c r="D184" s="148" t="str">
        <f t="shared" si="17"/>
        <v/>
      </c>
      <c r="E184" s="149" t="e">
        <f t="shared" si="18"/>
        <v>#VALUE!</v>
      </c>
      <c r="F184" s="148" t="e">
        <f t="shared" si="19"/>
        <v>#VALUE!</v>
      </c>
      <c r="G184" s="148" t="str">
        <f t="shared" si="20"/>
        <v/>
      </c>
      <c r="H184" s="148" t="str">
        <f t="shared" si="23"/>
        <v/>
      </c>
      <c r="I184" s="148" t="e">
        <f t="shared" si="21"/>
        <v>#VALUE!</v>
      </c>
      <c r="J184" s="148">
        <f>SUM($H$18:$H184)</f>
        <v>0</v>
      </c>
    </row>
    <row r="185" spans="1:10" x14ac:dyDescent="0.2">
      <c r="A185" s="151" t="str">
        <f>IF(Values_Entered,A184+1,"")</f>
        <v/>
      </c>
      <c r="B185" s="150" t="str">
        <f t="shared" si="16"/>
        <v/>
      </c>
      <c r="C185" s="148" t="str">
        <f t="shared" si="22"/>
        <v/>
      </c>
      <c r="D185" s="148" t="str">
        <f t="shared" si="17"/>
        <v/>
      </c>
      <c r="E185" s="149" t="e">
        <f t="shared" si="18"/>
        <v>#VALUE!</v>
      </c>
      <c r="F185" s="148" t="e">
        <f t="shared" si="19"/>
        <v>#VALUE!</v>
      </c>
      <c r="G185" s="148" t="str">
        <f t="shared" si="20"/>
        <v/>
      </c>
      <c r="H185" s="148" t="str">
        <f t="shared" si="23"/>
        <v/>
      </c>
      <c r="I185" s="148" t="e">
        <f t="shared" si="21"/>
        <v>#VALUE!</v>
      </c>
      <c r="J185" s="148">
        <f>SUM($H$18:$H185)</f>
        <v>0</v>
      </c>
    </row>
    <row r="186" spans="1:10" x14ac:dyDescent="0.2">
      <c r="A186" s="151" t="str">
        <f>IF(Values_Entered,A185+1,"")</f>
        <v/>
      </c>
      <c r="B186" s="150" t="str">
        <f t="shared" si="16"/>
        <v/>
      </c>
      <c r="C186" s="148" t="str">
        <f t="shared" si="22"/>
        <v/>
      </c>
      <c r="D186" s="148" t="str">
        <f t="shared" si="17"/>
        <v/>
      </c>
      <c r="E186" s="149" t="e">
        <f t="shared" si="18"/>
        <v>#VALUE!</v>
      </c>
      <c r="F186" s="148" t="e">
        <f t="shared" si="19"/>
        <v>#VALUE!</v>
      </c>
      <c r="G186" s="148" t="str">
        <f t="shared" si="20"/>
        <v/>
      </c>
      <c r="H186" s="148" t="str">
        <f t="shared" si="23"/>
        <v/>
      </c>
      <c r="I186" s="148" t="e">
        <f t="shared" si="21"/>
        <v>#VALUE!</v>
      </c>
      <c r="J186" s="148">
        <f>SUM($H$18:$H186)</f>
        <v>0</v>
      </c>
    </row>
    <row r="187" spans="1:10" x14ac:dyDescent="0.2">
      <c r="A187" s="151" t="str">
        <f>IF(Values_Entered,A186+1,"")</f>
        <v/>
      </c>
      <c r="B187" s="150" t="str">
        <f t="shared" si="16"/>
        <v/>
      </c>
      <c r="C187" s="148" t="str">
        <f t="shared" si="22"/>
        <v/>
      </c>
      <c r="D187" s="148" t="str">
        <f t="shared" si="17"/>
        <v/>
      </c>
      <c r="E187" s="149" t="e">
        <f t="shared" si="18"/>
        <v>#VALUE!</v>
      </c>
      <c r="F187" s="148" t="e">
        <f t="shared" si="19"/>
        <v>#VALUE!</v>
      </c>
      <c r="G187" s="148" t="str">
        <f t="shared" si="20"/>
        <v/>
      </c>
      <c r="H187" s="148" t="str">
        <f t="shared" si="23"/>
        <v/>
      </c>
      <c r="I187" s="148" t="e">
        <f t="shared" si="21"/>
        <v>#VALUE!</v>
      </c>
      <c r="J187" s="148">
        <f>SUM($H$18:$H187)</f>
        <v>0</v>
      </c>
    </row>
    <row r="188" spans="1:10" x14ac:dyDescent="0.2">
      <c r="A188" s="151" t="str">
        <f>IF(Values_Entered,A187+1,"")</f>
        <v/>
      </c>
      <c r="B188" s="150" t="str">
        <f t="shared" si="16"/>
        <v/>
      </c>
      <c r="C188" s="148" t="str">
        <f t="shared" si="22"/>
        <v/>
      </c>
      <c r="D188" s="148" t="str">
        <f t="shared" si="17"/>
        <v/>
      </c>
      <c r="E188" s="149" t="e">
        <f t="shared" si="18"/>
        <v>#VALUE!</v>
      </c>
      <c r="F188" s="148" t="e">
        <f t="shared" si="19"/>
        <v>#VALUE!</v>
      </c>
      <c r="G188" s="148" t="str">
        <f t="shared" si="20"/>
        <v/>
      </c>
      <c r="H188" s="148" t="str">
        <f t="shared" si="23"/>
        <v/>
      </c>
      <c r="I188" s="148" t="e">
        <f t="shared" si="21"/>
        <v>#VALUE!</v>
      </c>
      <c r="J188" s="148">
        <f>SUM($H$18:$H188)</f>
        <v>0</v>
      </c>
    </row>
    <row r="189" spans="1:10" x14ac:dyDescent="0.2">
      <c r="A189" s="151" t="str">
        <f>IF(Values_Entered,A188+1,"")</f>
        <v/>
      </c>
      <c r="B189" s="150" t="str">
        <f t="shared" si="16"/>
        <v/>
      </c>
      <c r="C189" s="148" t="str">
        <f t="shared" si="22"/>
        <v/>
      </c>
      <c r="D189" s="148" t="str">
        <f t="shared" si="17"/>
        <v/>
      </c>
      <c r="E189" s="149" t="e">
        <f t="shared" si="18"/>
        <v>#VALUE!</v>
      </c>
      <c r="F189" s="148" t="e">
        <f t="shared" si="19"/>
        <v>#VALUE!</v>
      </c>
      <c r="G189" s="148" t="str">
        <f t="shared" si="20"/>
        <v/>
      </c>
      <c r="H189" s="148" t="str">
        <f t="shared" si="23"/>
        <v/>
      </c>
      <c r="I189" s="148" t="e">
        <f t="shared" si="21"/>
        <v>#VALUE!</v>
      </c>
      <c r="J189" s="148">
        <f>SUM($H$18:$H189)</f>
        <v>0</v>
      </c>
    </row>
    <row r="190" spans="1:10" x14ac:dyDescent="0.2">
      <c r="A190" s="151" t="str">
        <f>IF(Values_Entered,A189+1,"")</f>
        <v/>
      </c>
      <c r="B190" s="150" t="str">
        <f t="shared" si="16"/>
        <v/>
      </c>
      <c r="C190" s="148" t="str">
        <f t="shared" si="22"/>
        <v/>
      </c>
      <c r="D190" s="148" t="str">
        <f t="shared" si="17"/>
        <v/>
      </c>
      <c r="E190" s="149" t="e">
        <f t="shared" si="18"/>
        <v>#VALUE!</v>
      </c>
      <c r="F190" s="148" t="e">
        <f t="shared" si="19"/>
        <v>#VALUE!</v>
      </c>
      <c r="G190" s="148" t="str">
        <f t="shared" si="20"/>
        <v/>
      </c>
      <c r="H190" s="148" t="str">
        <f t="shared" si="23"/>
        <v/>
      </c>
      <c r="I190" s="148" t="e">
        <f t="shared" si="21"/>
        <v>#VALUE!</v>
      </c>
      <c r="J190" s="148">
        <f>SUM($H$18:$H190)</f>
        <v>0</v>
      </c>
    </row>
    <row r="191" spans="1:10" x14ac:dyDescent="0.2">
      <c r="A191" s="151" t="str">
        <f>IF(Values_Entered,A190+1,"")</f>
        <v/>
      </c>
      <c r="B191" s="150" t="str">
        <f t="shared" si="16"/>
        <v/>
      </c>
      <c r="C191" s="148" t="str">
        <f t="shared" si="22"/>
        <v/>
      </c>
      <c r="D191" s="148" t="str">
        <f t="shared" si="17"/>
        <v/>
      </c>
      <c r="E191" s="149" t="e">
        <f t="shared" si="18"/>
        <v>#VALUE!</v>
      </c>
      <c r="F191" s="148" t="e">
        <f t="shared" si="19"/>
        <v>#VALUE!</v>
      </c>
      <c r="G191" s="148" t="str">
        <f t="shared" si="20"/>
        <v/>
      </c>
      <c r="H191" s="148" t="str">
        <f t="shared" si="23"/>
        <v/>
      </c>
      <c r="I191" s="148" t="e">
        <f t="shared" si="21"/>
        <v>#VALUE!</v>
      </c>
      <c r="J191" s="148">
        <f>SUM($H$18:$H191)</f>
        <v>0</v>
      </c>
    </row>
    <row r="192" spans="1:10" x14ac:dyDescent="0.2">
      <c r="A192" s="151" t="str">
        <f>IF(Values_Entered,A191+1,"")</f>
        <v/>
      </c>
      <c r="B192" s="150" t="str">
        <f t="shared" si="16"/>
        <v/>
      </c>
      <c r="C192" s="148" t="str">
        <f t="shared" si="22"/>
        <v/>
      </c>
      <c r="D192" s="148" t="str">
        <f t="shared" si="17"/>
        <v/>
      </c>
      <c r="E192" s="149" t="e">
        <f t="shared" si="18"/>
        <v>#VALUE!</v>
      </c>
      <c r="F192" s="148" t="e">
        <f t="shared" si="19"/>
        <v>#VALUE!</v>
      </c>
      <c r="G192" s="148" t="str">
        <f t="shared" si="20"/>
        <v/>
      </c>
      <c r="H192" s="148" t="str">
        <f t="shared" si="23"/>
        <v/>
      </c>
      <c r="I192" s="148" t="e">
        <f t="shared" si="21"/>
        <v>#VALUE!</v>
      </c>
      <c r="J192" s="148">
        <f>SUM($H$18:$H192)</f>
        <v>0</v>
      </c>
    </row>
    <row r="193" spans="1:10" x14ac:dyDescent="0.2">
      <c r="A193" s="151" t="str">
        <f>IF(Values_Entered,A192+1,"")</f>
        <v/>
      </c>
      <c r="B193" s="150" t="str">
        <f t="shared" si="16"/>
        <v/>
      </c>
      <c r="C193" s="148" t="str">
        <f t="shared" si="22"/>
        <v/>
      </c>
      <c r="D193" s="148" t="str">
        <f t="shared" si="17"/>
        <v/>
      </c>
      <c r="E193" s="149" t="e">
        <f t="shared" si="18"/>
        <v>#VALUE!</v>
      </c>
      <c r="F193" s="148" t="e">
        <f t="shared" si="19"/>
        <v>#VALUE!</v>
      </c>
      <c r="G193" s="148" t="str">
        <f t="shared" si="20"/>
        <v/>
      </c>
      <c r="H193" s="148" t="str">
        <f t="shared" si="23"/>
        <v/>
      </c>
      <c r="I193" s="148" t="e">
        <f t="shared" si="21"/>
        <v>#VALUE!</v>
      </c>
      <c r="J193" s="148">
        <f>SUM($H$18:$H193)</f>
        <v>0</v>
      </c>
    </row>
    <row r="194" spans="1:10" x14ac:dyDescent="0.2">
      <c r="A194" s="151" t="str">
        <f>IF(Values_Entered,A193+1,"")</f>
        <v/>
      </c>
      <c r="B194" s="150" t="str">
        <f t="shared" si="16"/>
        <v/>
      </c>
      <c r="C194" s="148" t="str">
        <f t="shared" si="22"/>
        <v/>
      </c>
      <c r="D194" s="148" t="str">
        <f t="shared" si="17"/>
        <v/>
      </c>
      <c r="E194" s="149" t="e">
        <f t="shared" si="18"/>
        <v>#VALUE!</v>
      </c>
      <c r="F194" s="148" t="e">
        <f t="shared" si="19"/>
        <v>#VALUE!</v>
      </c>
      <c r="G194" s="148" t="str">
        <f t="shared" si="20"/>
        <v/>
      </c>
      <c r="H194" s="148" t="str">
        <f t="shared" si="23"/>
        <v/>
      </c>
      <c r="I194" s="148" t="e">
        <f t="shared" si="21"/>
        <v>#VALUE!</v>
      </c>
      <c r="J194" s="148">
        <f>SUM($H$18:$H194)</f>
        <v>0</v>
      </c>
    </row>
    <row r="195" spans="1:10" x14ac:dyDescent="0.2">
      <c r="A195" s="151" t="str">
        <f>IF(Values_Entered,A194+1,"")</f>
        <v/>
      </c>
      <c r="B195" s="150" t="str">
        <f t="shared" si="16"/>
        <v/>
      </c>
      <c r="C195" s="148" t="str">
        <f t="shared" si="22"/>
        <v/>
      </c>
      <c r="D195" s="148" t="str">
        <f t="shared" si="17"/>
        <v/>
      </c>
      <c r="E195" s="149" t="e">
        <f t="shared" si="18"/>
        <v>#VALUE!</v>
      </c>
      <c r="F195" s="148" t="e">
        <f t="shared" si="19"/>
        <v>#VALUE!</v>
      </c>
      <c r="G195" s="148" t="str">
        <f t="shared" si="20"/>
        <v/>
      </c>
      <c r="H195" s="148" t="str">
        <f t="shared" si="23"/>
        <v/>
      </c>
      <c r="I195" s="148" t="e">
        <f t="shared" si="21"/>
        <v>#VALUE!</v>
      </c>
      <c r="J195" s="148">
        <f>SUM($H$18:$H195)</f>
        <v>0</v>
      </c>
    </row>
    <row r="196" spans="1:10" x14ac:dyDescent="0.2">
      <c r="A196" s="151" t="str">
        <f>IF(Values_Entered,A195+1,"")</f>
        <v/>
      </c>
      <c r="B196" s="150" t="str">
        <f t="shared" si="16"/>
        <v/>
      </c>
      <c r="C196" s="148" t="str">
        <f t="shared" si="22"/>
        <v/>
      </c>
      <c r="D196" s="148" t="str">
        <f t="shared" si="17"/>
        <v/>
      </c>
      <c r="E196" s="149" t="e">
        <f t="shared" si="18"/>
        <v>#VALUE!</v>
      </c>
      <c r="F196" s="148" t="e">
        <f t="shared" si="19"/>
        <v>#VALUE!</v>
      </c>
      <c r="G196" s="148" t="str">
        <f t="shared" si="20"/>
        <v/>
      </c>
      <c r="H196" s="148" t="str">
        <f t="shared" si="23"/>
        <v/>
      </c>
      <c r="I196" s="148" t="e">
        <f t="shared" si="21"/>
        <v>#VALUE!</v>
      </c>
      <c r="J196" s="148">
        <f>SUM($H$18:$H196)</f>
        <v>0</v>
      </c>
    </row>
    <row r="197" spans="1:10" x14ac:dyDescent="0.2">
      <c r="A197" s="151" t="str">
        <f>IF(Values_Entered,A196+1,"")</f>
        <v/>
      </c>
      <c r="B197" s="150" t="str">
        <f t="shared" si="16"/>
        <v/>
      </c>
      <c r="C197" s="148" t="str">
        <f t="shared" si="22"/>
        <v/>
      </c>
      <c r="D197" s="148" t="str">
        <f t="shared" si="17"/>
        <v/>
      </c>
      <c r="E197" s="149" t="e">
        <f t="shared" si="18"/>
        <v>#VALUE!</v>
      </c>
      <c r="F197" s="148" t="e">
        <f t="shared" si="19"/>
        <v>#VALUE!</v>
      </c>
      <c r="G197" s="148" t="str">
        <f t="shared" si="20"/>
        <v/>
      </c>
      <c r="H197" s="148" t="str">
        <f t="shared" si="23"/>
        <v/>
      </c>
      <c r="I197" s="148" t="e">
        <f t="shared" si="21"/>
        <v>#VALUE!</v>
      </c>
      <c r="J197" s="148">
        <f>SUM($H$18:$H197)</f>
        <v>0</v>
      </c>
    </row>
    <row r="198" spans="1:10" x14ac:dyDescent="0.2">
      <c r="A198" s="151" t="str">
        <f>IF(Values_Entered,A197+1,"")</f>
        <v/>
      </c>
      <c r="B198" s="150" t="str">
        <f t="shared" si="16"/>
        <v/>
      </c>
      <c r="C198" s="148" t="str">
        <f t="shared" si="22"/>
        <v/>
      </c>
      <c r="D198" s="148" t="str">
        <f t="shared" si="17"/>
        <v/>
      </c>
      <c r="E198" s="149" t="e">
        <f t="shared" si="18"/>
        <v>#VALUE!</v>
      </c>
      <c r="F198" s="148" t="e">
        <f t="shared" si="19"/>
        <v>#VALUE!</v>
      </c>
      <c r="G198" s="148" t="str">
        <f t="shared" si="20"/>
        <v/>
      </c>
      <c r="H198" s="148" t="str">
        <f t="shared" si="23"/>
        <v/>
      </c>
      <c r="I198" s="148" t="e">
        <f t="shared" si="21"/>
        <v>#VALUE!</v>
      </c>
      <c r="J198" s="148">
        <f>SUM($H$18:$H198)</f>
        <v>0</v>
      </c>
    </row>
    <row r="199" spans="1:10" x14ac:dyDescent="0.2">
      <c r="A199" s="151" t="str">
        <f>IF(Values_Entered,A198+1,"")</f>
        <v/>
      </c>
      <c r="B199" s="150" t="str">
        <f t="shared" si="16"/>
        <v/>
      </c>
      <c r="C199" s="148" t="str">
        <f t="shared" si="22"/>
        <v/>
      </c>
      <c r="D199" s="148" t="str">
        <f t="shared" si="17"/>
        <v/>
      </c>
      <c r="E199" s="149" t="e">
        <f t="shared" si="18"/>
        <v>#VALUE!</v>
      </c>
      <c r="F199" s="148" t="e">
        <f t="shared" si="19"/>
        <v>#VALUE!</v>
      </c>
      <c r="G199" s="148" t="str">
        <f t="shared" si="20"/>
        <v/>
      </c>
      <c r="H199" s="148" t="str">
        <f t="shared" si="23"/>
        <v/>
      </c>
      <c r="I199" s="148" t="e">
        <f t="shared" si="21"/>
        <v>#VALUE!</v>
      </c>
      <c r="J199" s="148">
        <f>SUM($H$18:$H199)</f>
        <v>0</v>
      </c>
    </row>
    <row r="200" spans="1:10" x14ac:dyDescent="0.2">
      <c r="A200" s="151" t="str">
        <f>IF(Values_Entered,A199+1,"")</f>
        <v/>
      </c>
      <c r="B200" s="150" t="str">
        <f t="shared" si="16"/>
        <v/>
      </c>
      <c r="C200" s="148" t="str">
        <f t="shared" si="22"/>
        <v/>
      </c>
      <c r="D200" s="148" t="str">
        <f t="shared" si="17"/>
        <v/>
      </c>
      <c r="E200" s="149" t="e">
        <f t="shared" si="18"/>
        <v>#VALUE!</v>
      </c>
      <c r="F200" s="148" t="e">
        <f t="shared" si="19"/>
        <v>#VALUE!</v>
      </c>
      <c r="G200" s="148" t="str">
        <f t="shared" si="20"/>
        <v/>
      </c>
      <c r="H200" s="148" t="str">
        <f t="shared" si="23"/>
        <v/>
      </c>
      <c r="I200" s="148" t="e">
        <f t="shared" si="21"/>
        <v>#VALUE!</v>
      </c>
      <c r="J200" s="148">
        <f>SUM($H$18:$H200)</f>
        <v>0</v>
      </c>
    </row>
    <row r="201" spans="1:10" x14ac:dyDescent="0.2">
      <c r="A201" s="151" t="str">
        <f>IF(Values_Entered,A200+1,"")</f>
        <v/>
      </c>
      <c r="B201" s="150" t="str">
        <f t="shared" si="16"/>
        <v/>
      </c>
      <c r="C201" s="148" t="str">
        <f t="shared" si="22"/>
        <v/>
      </c>
      <c r="D201" s="148" t="str">
        <f t="shared" si="17"/>
        <v/>
      </c>
      <c r="E201" s="149" t="e">
        <f t="shared" si="18"/>
        <v>#VALUE!</v>
      </c>
      <c r="F201" s="148" t="e">
        <f t="shared" si="19"/>
        <v>#VALUE!</v>
      </c>
      <c r="G201" s="148" t="str">
        <f t="shared" si="20"/>
        <v/>
      </c>
      <c r="H201" s="148" t="str">
        <f t="shared" si="23"/>
        <v/>
      </c>
      <c r="I201" s="148" t="e">
        <f t="shared" si="21"/>
        <v>#VALUE!</v>
      </c>
      <c r="J201" s="148">
        <f>SUM($H$18:$H201)</f>
        <v>0</v>
      </c>
    </row>
    <row r="202" spans="1:10" x14ac:dyDescent="0.2">
      <c r="A202" s="151" t="str">
        <f>IF(Values_Entered,A201+1,"")</f>
        <v/>
      </c>
      <c r="B202" s="150" t="str">
        <f t="shared" si="16"/>
        <v/>
      </c>
      <c r="C202" s="148" t="str">
        <f t="shared" si="22"/>
        <v/>
      </c>
      <c r="D202" s="148" t="str">
        <f t="shared" si="17"/>
        <v/>
      </c>
      <c r="E202" s="149" t="e">
        <f t="shared" si="18"/>
        <v>#VALUE!</v>
      </c>
      <c r="F202" s="148" t="e">
        <f t="shared" si="19"/>
        <v>#VALUE!</v>
      </c>
      <c r="G202" s="148" t="str">
        <f t="shared" si="20"/>
        <v/>
      </c>
      <c r="H202" s="148" t="str">
        <f t="shared" si="23"/>
        <v/>
      </c>
      <c r="I202" s="148" t="e">
        <f t="shared" si="21"/>
        <v>#VALUE!</v>
      </c>
      <c r="J202" s="148">
        <f>SUM($H$18:$H202)</f>
        <v>0</v>
      </c>
    </row>
    <row r="203" spans="1:10" x14ac:dyDescent="0.2">
      <c r="A203" s="151" t="str">
        <f>IF(Values_Entered,A202+1,"")</f>
        <v/>
      </c>
      <c r="B203" s="150" t="str">
        <f t="shared" si="16"/>
        <v/>
      </c>
      <c r="C203" s="148" t="str">
        <f t="shared" si="22"/>
        <v/>
      </c>
      <c r="D203" s="148" t="str">
        <f t="shared" si="17"/>
        <v/>
      </c>
      <c r="E203" s="149" t="e">
        <f t="shared" si="18"/>
        <v>#VALUE!</v>
      </c>
      <c r="F203" s="148" t="e">
        <f t="shared" si="19"/>
        <v>#VALUE!</v>
      </c>
      <c r="G203" s="148" t="str">
        <f t="shared" si="20"/>
        <v/>
      </c>
      <c r="H203" s="148" t="str">
        <f t="shared" si="23"/>
        <v/>
      </c>
      <c r="I203" s="148" t="e">
        <f t="shared" si="21"/>
        <v>#VALUE!</v>
      </c>
      <c r="J203" s="148">
        <f>SUM($H$18:$H203)</f>
        <v>0</v>
      </c>
    </row>
    <row r="204" spans="1:10" x14ac:dyDescent="0.2">
      <c r="A204" s="151" t="str">
        <f>IF(Values_Entered,A203+1,"")</f>
        <v/>
      </c>
      <c r="B204" s="150" t="str">
        <f t="shared" si="16"/>
        <v/>
      </c>
      <c r="C204" s="148" t="str">
        <f t="shared" si="22"/>
        <v/>
      </c>
      <c r="D204" s="148" t="str">
        <f t="shared" si="17"/>
        <v/>
      </c>
      <c r="E204" s="149" t="e">
        <f t="shared" si="18"/>
        <v>#VALUE!</v>
      </c>
      <c r="F204" s="148" t="e">
        <f t="shared" si="19"/>
        <v>#VALUE!</v>
      </c>
      <c r="G204" s="148" t="str">
        <f t="shared" si="20"/>
        <v/>
      </c>
      <c r="H204" s="148" t="str">
        <f t="shared" si="23"/>
        <v/>
      </c>
      <c r="I204" s="148" t="e">
        <f t="shared" si="21"/>
        <v>#VALUE!</v>
      </c>
      <c r="J204" s="148">
        <f>SUM($H$18:$H204)</f>
        <v>0</v>
      </c>
    </row>
    <row r="205" spans="1:10" x14ac:dyDescent="0.2">
      <c r="A205" s="151" t="str">
        <f>IF(Values_Entered,A204+1,"")</f>
        <v/>
      </c>
      <c r="B205" s="150" t="str">
        <f t="shared" si="16"/>
        <v/>
      </c>
      <c r="C205" s="148" t="str">
        <f t="shared" si="22"/>
        <v/>
      </c>
      <c r="D205" s="148" t="str">
        <f t="shared" si="17"/>
        <v/>
      </c>
      <c r="E205" s="149" t="e">
        <f t="shared" si="18"/>
        <v>#VALUE!</v>
      </c>
      <c r="F205" s="148" t="e">
        <f t="shared" si="19"/>
        <v>#VALUE!</v>
      </c>
      <c r="G205" s="148" t="str">
        <f t="shared" si="20"/>
        <v/>
      </c>
      <c r="H205" s="148" t="str">
        <f t="shared" si="23"/>
        <v/>
      </c>
      <c r="I205" s="148" t="e">
        <f t="shared" si="21"/>
        <v>#VALUE!</v>
      </c>
      <c r="J205" s="148">
        <f>SUM($H$18:$H205)</f>
        <v>0</v>
      </c>
    </row>
    <row r="206" spans="1:10" x14ac:dyDescent="0.2">
      <c r="A206" s="151" t="str">
        <f>IF(Values_Entered,A205+1,"")</f>
        <v/>
      </c>
      <c r="B206" s="150" t="str">
        <f t="shared" si="16"/>
        <v/>
      </c>
      <c r="C206" s="148" t="str">
        <f t="shared" si="22"/>
        <v/>
      </c>
      <c r="D206" s="148" t="str">
        <f t="shared" si="17"/>
        <v/>
      </c>
      <c r="E206" s="149" t="e">
        <f t="shared" si="18"/>
        <v>#VALUE!</v>
      </c>
      <c r="F206" s="148" t="e">
        <f t="shared" si="19"/>
        <v>#VALUE!</v>
      </c>
      <c r="G206" s="148" t="str">
        <f t="shared" si="20"/>
        <v/>
      </c>
      <c r="H206" s="148" t="str">
        <f t="shared" si="23"/>
        <v/>
      </c>
      <c r="I206" s="148" t="e">
        <f t="shared" si="21"/>
        <v>#VALUE!</v>
      </c>
      <c r="J206" s="148">
        <f>SUM($H$18:$H206)</f>
        <v>0</v>
      </c>
    </row>
    <row r="207" spans="1:10" x14ac:dyDescent="0.2">
      <c r="A207" s="151" t="str">
        <f>IF(Values_Entered,A206+1,"")</f>
        <v/>
      </c>
      <c r="B207" s="150" t="str">
        <f t="shared" si="16"/>
        <v/>
      </c>
      <c r="C207" s="148" t="str">
        <f t="shared" si="22"/>
        <v/>
      </c>
      <c r="D207" s="148" t="str">
        <f t="shared" si="17"/>
        <v/>
      </c>
      <c r="E207" s="149" t="e">
        <f t="shared" si="18"/>
        <v>#VALUE!</v>
      </c>
      <c r="F207" s="148" t="e">
        <f t="shared" si="19"/>
        <v>#VALUE!</v>
      </c>
      <c r="G207" s="148" t="str">
        <f t="shared" si="20"/>
        <v/>
      </c>
      <c r="H207" s="148" t="str">
        <f t="shared" si="23"/>
        <v/>
      </c>
      <c r="I207" s="148" t="e">
        <f t="shared" si="21"/>
        <v>#VALUE!</v>
      </c>
      <c r="J207" s="148">
        <f>SUM($H$18:$H207)</f>
        <v>0</v>
      </c>
    </row>
    <row r="208" spans="1:10" x14ac:dyDescent="0.2">
      <c r="A208" s="151" t="str">
        <f>IF(Values_Entered,A207+1,"")</f>
        <v/>
      </c>
      <c r="B208" s="150" t="str">
        <f t="shared" si="16"/>
        <v/>
      </c>
      <c r="C208" s="148" t="str">
        <f t="shared" si="22"/>
        <v/>
      </c>
      <c r="D208" s="148" t="str">
        <f t="shared" si="17"/>
        <v/>
      </c>
      <c r="E208" s="149" t="e">
        <f t="shared" si="18"/>
        <v>#VALUE!</v>
      </c>
      <c r="F208" s="148" t="e">
        <f t="shared" si="19"/>
        <v>#VALUE!</v>
      </c>
      <c r="G208" s="148" t="str">
        <f t="shared" si="20"/>
        <v/>
      </c>
      <c r="H208" s="148" t="str">
        <f t="shared" si="23"/>
        <v/>
      </c>
      <c r="I208" s="148" t="e">
        <f t="shared" si="21"/>
        <v>#VALUE!</v>
      </c>
      <c r="J208" s="148">
        <f>SUM($H$18:$H208)</f>
        <v>0</v>
      </c>
    </row>
    <row r="209" spans="1:10" x14ac:dyDescent="0.2">
      <c r="A209" s="151" t="str">
        <f>IF(Values_Entered,A208+1,"")</f>
        <v/>
      </c>
      <c r="B209" s="150" t="str">
        <f t="shared" si="16"/>
        <v/>
      </c>
      <c r="C209" s="148" t="str">
        <f t="shared" si="22"/>
        <v/>
      </c>
      <c r="D209" s="148" t="str">
        <f t="shared" si="17"/>
        <v/>
      </c>
      <c r="E209" s="149" t="e">
        <f t="shared" si="18"/>
        <v>#VALUE!</v>
      </c>
      <c r="F209" s="148" t="e">
        <f t="shared" si="19"/>
        <v>#VALUE!</v>
      </c>
      <c r="G209" s="148" t="str">
        <f t="shared" si="20"/>
        <v/>
      </c>
      <c r="H209" s="148" t="str">
        <f t="shared" si="23"/>
        <v/>
      </c>
      <c r="I209" s="148" t="e">
        <f t="shared" si="21"/>
        <v>#VALUE!</v>
      </c>
      <c r="J209" s="148">
        <f>SUM($H$18:$H209)</f>
        <v>0</v>
      </c>
    </row>
    <row r="210" spans="1:10" x14ac:dyDescent="0.2">
      <c r="A210" s="151" t="str">
        <f>IF(Values_Entered,A209+1,"")</f>
        <v/>
      </c>
      <c r="B210" s="150" t="str">
        <f t="shared" ref="B210:B273" si="24">IF(Pay_Num&lt;&gt;"",DATE(YEAR(Loan_Start),MONTH(Loan_Start)+(Pay_Num)*12/Num_Pmt_Per_Year,DAY(Loan_Start)),"")</f>
        <v/>
      </c>
      <c r="C210" s="148" t="str">
        <f t="shared" si="22"/>
        <v/>
      </c>
      <c r="D210" s="148" t="str">
        <f t="shared" ref="D210:D273" si="25">IF(Pay_Num&lt;&gt;"",Scheduled_Monthly_Payment,"")</f>
        <v/>
      </c>
      <c r="E210" s="149" t="e">
        <f t="shared" ref="E210:E273" si="26">IF(AND(Pay_Num&lt;&gt;"",Sched_Pay+Scheduled_Extra_Payments&lt;Beg_Bal),Scheduled_Extra_Payments,IF(AND(Pay_Num&lt;&gt;"",Beg_Bal-Sched_Pay&gt;0),Beg_Bal-Sched_Pay,IF(Pay_Num&lt;&gt;"",0,"")))</f>
        <v>#VALUE!</v>
      </c>
      <c r="F210" s="148" t="e">
        <f t="shared" ref="F210:F273" si="27">IF(AND(Pay_Num&lt;&gt;"",Sched_Pay+Extra_Pay&lt;Beg_Bal),Sched_Pay+Extra_Pay,IF(Pay_Num&lt;&gt;"",Beg_Bal,""))</f>
        <v>#VALUE!</v>
      </c>
      <c r="G210" s="148" t="str">
        <f t="shared" ref="G210:G273" si="28">IF(Pay_Num&lt;&gt;"",Total_Pay-Int,"")</f>
        <v/>
      </c>
      <c r="H210" s="148" t="str">
        <f t="shared" si="23"/>
        <v/>
      </c>
      <c r="I210" s="148" t="e">
        <f t="shared" ref="I210:I273" si="29">IF(AND(Pay_Num&lt;&gt;"",Sched_Pay+Extra_Pay&lt;Beg_Bal),Beg_Bal-Princ,IF(Pay_Num&lt;&gt;"",0,""))</f>
        <v>#VALUE!</v>
      </c>
      <c r="J210" s="148">
        <f>SUM($H$18:$H210)</f>
        <v>0</v>
      </c>
    </row>
    <row r="211" spans="1:10" x14ac:dyDescent="0.2">
      <c r="A211" s="151" t="str">
        <f>IF(Values_Entered,A210+1,"")</f>
        <v/>
      </c>
      <c r="B211" s="150" t="str">
        <f t="shared" si="24"/>
        <v/>
      </c>
      <c r="C211" s="148" t="str">
        <f t="shared" ref="C211:C274" si="30">IF(Pay_Num&lt;&gt;"",I210,"")</f>
        <v/>
      </c>
      <c r="D211" s="148" t="str">
        <f t="shared" si="25"/>
        <v/>
      </c>
      <c r="E211" s="149" t="e">
        <f t="shared" si="26"/>
        <v>#VALUE!</v>
      </c>
      <c r="F211" s="148" t="e">
        <f t="shared" si="27"/>
        <v>#VALUE!</v>
      </c>
      <c r="G211" s="148" t="str">
        <f t="shared" si="28"/>
        <v/>
      </c>
      <c r="H211" s="148" t="str">
        <f t="shared" ref="H211:H274" si="31">IF(Pay_Num&lt;&gt;"",Beg_Bal*Interest_Rate/Num_Pmt_Per_Year,"")</f>
        <v/>
      </c>
      <c r="I211" s="148" t="e">
        <f t="shared" si="29"/>
        <v>#VALUE!</v>
      </c>
      <c r="J211" s="148">
        <f>SUM($H$18:$H211)</f>
        <v>0</v>
      </c>
    </row>
    <row r="212" spans="1:10" x14ac:dyDescent="0.2">
      <c r="A212" s="151" t="str">
        <f>IF(Values_Entered,A211+1,"")</f>
        <v/>
      </c>
      <c r="B212" s="150" t="str">
        <f t="shared" si="24"/>
        <v/>
      </c>
      <c r="C212" s="148" t="str">
        <f t="shared" si="30"/>
        <v/>
      </c>
      <c r="D212" s="148" t="str">
        <f t="shared" si="25"/>
        <v/>
      </c>
      <c r="E212" s="149" t="e">
        <f t="shared" si="26"/>
        <v>#VALUE!</v>
      </c>
      <c r="F212" s="148" t="e">
        <f t="shared" si="27"/>
        <v>#VALUE!</v>
      </c>
      <c r="G212" s="148" t="str">
        <f t="shared" si="28"/>
        <v/>
      </c>
      <c r="H212" s="148" t="str">
        <f t="shared" si="31"/>
        <v/>
      </c>
      <c r="I212" s="148" t="e">
        <f t="shared" si="29"/>
        <v>#VALUE!</v>
      </c>
      <c r="J212" s="148">
        <f>SUM($H$18:$H212)</f>
        <v>0</v>
      </c>
    </row>
    <row r="213" spans="1:10" x14ac:dyDescent="0.2">
      <c r="A213" s="151" t="str">
        <f>IF(Values_Entered,A212+1,"")</f>
        <v/>
      </c>
      <c r="B213" s="150" t="str">
        <f t="shared" si="24"/>
        <v/>
      </c>
      <c r="C213" s="148" t="str">
        <f t="shared" si="30"/>
        <v/>
      </c>
      <c r="D213" s="148" t="str">
        <f t="shared" si="25"/>
        <v/>
      </c>
      <c r="E213" s="149" t="e">
        <f t="shared" si="26"/>
        <v>#VALUE!</v>
      </c>
      <c r="F213" s="148" t="e">
        <f t="shared" si="27"/>
        <v>#VALUE!</v>
      </c>
      <c r="G213" s="148" t="str">
        <f t="shared" si="28"/>
        <v/>
      </c>
      <c r="H213" s="148" t="str">
        <f t="shared" si="31"/>
        <v/>
      </c>
      <c r="I213" s="148" t="e">
        <f t="shared" si="29"/>
        <v>#VALUE!</v>
      </c>
      <c r="J213" s="148">
        <f>SUM($H$18:$H213)</f>
        <v>0</v>
      </c>
    </row>
    <row r="214" spans="1:10" x14ac:dyDescent="0.2">
      <c r="A214" s="151" t="str">
        <f>IF(Values_Entered,A213+1,"")</f>
        <v/>
      </c>
      <c r="B214" s="150" t="str">
        <f t="shared" si="24"/>
        <v/>
      </c>
      <c r="C214" s="148" t="str">
        <f t="shared" si="30"/>
        <v/>
      </c>
      <c r="D214" s="148" t="str">
        <f t="shared" si="25"/>
        <v/>
      </c>
      <c r="E214" s="149" t="e">
        <f t="shared" si="26"/>
        <v>#VALUE!</v>
      </c>
      <c r="F214" s="148" t="e">
        <f t="shared" si="27"/>
        <v>#VALUE!</v>
      </c>
      <c r="G214" s="148" t="str">
        <f t="shared" si="28"/>
        <v/>
      </c>
      <c r="H214" s="148" t="str">
        <f t="shared" si="31"/>
        <v/>
      </c>
      <c r="I214" s="148" t="e">
        <f t="shared" si="29"/>
        <v>#VALUE!</v>
      </c>
      <c r="J214" s="148">
        <f>SUM($H$18:$H214)</f>
        <v>0</v>
      </c>
    </row>
    <row r="215" spans="1:10" x14ac:dyDescent="0.2">
      <c r="A215" s="151" t="str">
        <f>IF(Values_Entered,A214+1,"")</f>
        <v/>
      </c>
      <c r="B215" s="150" t="str">
        <f t="shared" si="24"/>
        <v/>
      </c>
      <c r="C215" s="148" t="str">
        <f t="shared" si="30"/>
        <v/>
      </c>
      <c r="D215" s="148" t="str">
        <f t="shared" si="25"/>
        <v/>
      </c>
      <c r="E215" s="149" t="e">
        <f t="shared" si="26"/>
        <v>#VALUE!</v>
      </c>
      <c r="F215" s="148" t="e">
        <f t="shared" si="27"/>
        <v>#VALUE!</v>
      </c>
      <c r="G215" s="148" t="str">
        <f t="shared" si="28"/>
        <v/>
      </c>
      <c r="H215" s="148" t="str">
        <f t="shared" si="31"/>
        <v/>
      </c>
      <c r="I215" s="148" t="e">
        <f t="shared" si="29"/>
        <v>#VALUE!</v>
      </c>
      <c r="J215" s="148">
        <f>SUM($H$18:$H215)</f>
        <v>0</v>
      </c>
    </row>
    <row r="216" spans="1:10" x14ac:dyDescent="0.2">
      <c r="A216" s="151" t="str">
        <f>IF(Values_Entered,A215+1,"")</f>
        <v/>
      </c>
      <c r="B216" s="150" t="str">
        <f t="shared" si="24"/>
        <v/>
      </c>
      <c r="C216" s="148" t="str">
        <f t="shared" si="30"/>
        <v/>
      </c>
      <c r="D216" s="148" t="str">
        <f t="shared" si="25"/>
        <v/>
      </c>
      <c r="E216" s="149" t="e">
        <f t="shared" si="26"/>
        <v>#VALUE!</v>
      </c>
      <c r="F216" s="148" t="e">
        <f t="shared" si="27"/>
        <v>#VALUE!</v>
      </c>
      <c r="G216" s="148" t="str">
        <f t="shared" si="28"/>
        <v/>
      </c>
      <c r="H216" s="148" t="str">
        <f t="shared" si="31"/>
        <v/>
      </c>
      <c r="I216" s="148" t="e">
        <f t="shared" si="29"/>
        <v>#VALUE!</v>
      </c>
      <c r="J216" s="148">
        <f>SUM($H$18:$H216)</f>
        <v>0</v>
      </c>
    </row>
    <row r="217" spans="1:10" x14ac:dyDescent="0.2">
      <c r="A217" s="151" t="str">
        <f>IF(Values_Entered,A216+1,"")</f>
        <v/>
      </c>
      <c r="B217" s="150" t="str">
        <f t="shared" si="24"/>
        <v/>
      </c>
      <c r="C217" s="148" t="str">
        <f t="shared" si="30"/>
        <v/>
      </c>
      <c r="D217" s="148" t="str">
        <f t="shared" si="25"/>
        <v/>
      </c>
      <c r="E217" s="149" t="e">
        <f t="shared" si="26"/>
        <v>#VALUE!</v>
      </c>
      <c r="F217" s="148" t="e">
        <f t="shared" si="27"/>
        <v>#VALUE!</v>
      </c>
      <c r="G217" s="148" t="str">
        <f t="shared" si="28"/>
        <v/>
      </c>
      <c r="H217" s="148" t="str">
        <f t="shared" si="31"/>
        <v/>
      </c>
      <c r="I217" s="148" t="e">
        <f t="shared" si="29"/>
        <v>#VALUE!</v>
      </c>
      <c r="J217" s="148">
        <f>SUM($H$18:$H217)</f>
        <v>0</v>
      </c>
    </row>
    <row r="218" spans="1:10" x14ac:dyDescent="0.2">
      <c r="A218" s="151" t="str">
        <f>IF(Values_Entered,A217+1,"")</f>
        <v/>
      </c>
      <c r="B218" s="150" t="str">
        <f t="shared" si="24"/>
        <v/>
      </c>
      <c r="C218" s="148" t="str">
        <f t="shared" si="30"/>
        <v/>
      </c>
      <c r="D218" s="148" t="str">
        <f t="shared" si="25"/>
        <v/>
      </c>
      <c r="E218" s="149" t="e">
        <f t="shared" si="26"/>
        <v>#VALUE!</v>
      </c>
      <c r="F218" s="148" t="e">
        <f t="shared" si="27"/>
        <v>#VALUE!</v>
      </c>
      <c r="G218" s="148" t="str">
        <f t="shared" si="28"/>
        <v/>
      </c>
      <c r="H218" s="148" t="str">
        <f t="shared" si="31"/>
        <v/>
      </c>
      <c r="I218" s="148" t="e">
        <f t="shared" si="29"/>
        <v>#VALUE!</v>
      </c>
      <c r="J218" s="148">
        <f>SUM($H$18:$H218)</f>
        <v>0</v>
      </c>
    </row>
    <row r="219" spans="1:10" x14ac:dyDescent="0.2">
      <c r="A219" s="151" t="str">
        <f>IF(Values_Entered,A218+1,"")</f>
        <v/>
      </c>
      <c r="B219" s="150" t="str">
        <f t="shared" si="24"/>
        <v/>
      </c>
      <c r="C219" s="148" t="str">
        <f t="shared" si="30"/>
        <v/>
      </c>
      <c r="D219" s="148" t="str">
        <f t="shared" si="25"/>
        <v/>
      </c>
      <c r="E219" s="149" t="e">
        <f t="shared" si="26"/>
        <v>#VALUE!</v>
      </c>
      <c r="F219" s="148" t="e">
        <f t="shared" si="27"/>
        <v>#VALUE!</v>
      </c>
      <c r="G219" s="148" t="str">
        <f t="shared" si="28"/>
        <v/>
      </c>
      <c r="H219" s="148" t="str">
        <f t="shared" si="31"/>
        <v/>
      </c>
      <c r="I219" s="148" t="e">
        <f t="shared" si="29"/>
        <v>#VALUE!</v>
      </c>
      <c r="J219" s="148">
        <f>SUM($H$18:$H219)</f>
        <v>0</v>
      </c>
    </row>
    <row r="220" spans="1:10" x14ac:dyDescent="0.2">
      <c r="A220" s="151" t="str">
        <f>IF(Values_Entered,A219+1,"")</f>
        <v/>
      </c>
      <c r="B220" s="150" t="str">
        <f t="shared" si="24"/>
        <v/>
      </c>
      <c r="C220" s="148" t="str">
        <f t="shared" si="30"/>
        <v/>
      </c>
      <c r="D220" s="148" t="str">
        <f t="shared" si="25"/>
        <v/>
      </c>
      <c r="E220" s="149" t="e">
        <f t="shared" si="26"/>
        <v>#VALUE!</v>
      </c>
      <c r="F220" s="148" t="e">
        <f t="shared" si="27"/>
        <v>#VALUE!</v>
      </c>
      <c r="G220" s="148" t="str">
        <f t="shared" si="28"/>
        <v/>
      </c>
      <c r="H220" s="148" t="str">
        <f t="shared" si="31"/>
        <v/>
      </c>
      <c r="I220" s="148" t="e">
        <f t="shared" si="29"/>
        <v>#VALUE!</v>
      </c>
      <c r="J220" s="148">
        <f>SUM($H$18:$H220)</f>
        <v>0</v>
      </c>
    </row>
    <row r="221" spans="1:10" x14ac:dyDescent="0.2">
      <c r="A221" s="151" t="str">
        <f>IF(Values_Entered,A220+1,"")</f>
        <v/>
      </c>
      <c r="B221" s="150" t="str">
        <f t="shared" si="24"/>
        <v/>
      </c>
      <c r="C221" s="148" t="str">
        <f t="shared" si="30"/>
        <v/>
      </c>
      <c r="D221" s="148" t="str">
        <f t="shared" si="25"/>
        <v/>
      </c>
      <c r="E221" s="149" t="e">
        <f t="shared" si="26"/>
        <v>#VALUE!</v>
      </c>
      <c r="F221" s="148" t="e">
        <f t="shared" si="27"/>
        <v>#VALUE!</v>
      </c>
      <c r="G221" s="148" t="str">
        <f t="shared" si="28"/>
        <v/>
      </c>
      <c r="H221" s="148" t="str">
        <f t="shared" si="31"/>
        <v/>
      </c>
      <c r="I221" s="148" t="e">
        <f t="shared" si="29"/>
        <v>#VALUE!</v>
      </c>
      <c r="J221" s="148">
        <f>SUM($H$18:$H221)</f>
        <v>0</v>
      </c>
    </row>
    <row r="222" spans="1:10" x14ac:dyDescent="0.2">
      <c r="A222" s="151" t="str">
        <f>IF(Values_Entered,A221+1,"")</f>
        <v/>
      </c>
      <c r="B222" s="150" t="str">
        <f t="shared" si="24"/>
        <v/>
      </c>
      <c r="C222" s="148" t="str">
        <f t="shared" si="30"/>
        <v/>
      </c>
      <c r="D222" s="148" t="str">
        <f t="shared" si="25"/>
        <v/>
      </c>
      <c r="E222" s="149" t="e">
        <f t="shared" si="26"/>
        <v>#VALUE!</v>
      </c>
      <c r="F222" s="148" t="e">
        <f t="shared" si="27"/>
        <v>#VALUE!</v>
      </c>
      <c r="G222" s="148" t="str">
        <f t="shared" si="28"/>
        <v/>
      </c>
      <c r="H222" s="148" t="str">
        <f t="shared" si="31"/>
        <v/>
      </c>
      <c r="I222" s="148" t="e">
        <f t="shared" si="29"/>
        <v>#VALUE!</v>
      </c>
      <c r="J222" s="148">
        <f>SUM($H$18:$H222)</f>
        <v>0</v>
      </c>
    </row>
    <row r="223" spans="1:10" x14ac:dyDescent="0.2">
      <c r="A223" s="151" t="str">
        <f>IF(Values_Entered,A222+1,"")</f>
        <v/>
      </c>
      <c r="B223" s="150" t="str">
        <f t="shared" si="24"/>
        <v/>
      </c>
      <c r="C223" s="148" t="str">
        <f t="shared" si="30"/>
        <v/>
      </c>
      <c r="D223" s="148" t="str">
        <f t="shared" si="25"/>
        <v/>
      </c>
      <c r="E223" s="149" t="e">
        <f t="shared" si="26"/>
        <v>#VALUE!</v>
      </c>
      <c r="F223" s="148" t="e">
        <f t="shared" si="27"/>
        <v>#VALUE!</v>
      </c>
      <c r="G223" s="148" t="str">
        <f t="shared" si="28"/>
        <v/>
      </c>
      <c r="H223" s="148" t="str">
        <f t="shared" si="31"/>
        <v/>
      </c>
      <c r="I223" s="148" t="e">
        <f t="shared" si="29"/>
        <v>#VALUE!</v>
      </c>
      <c r="J223" s="148">
        <f>SUM($H$18:$H223)</f>
        <v>0</v>
      </c>
    </row>
    <row r="224" spans="1:10" x14ac:dyDescent="0.2">
      <c r="A224" s="151" t="str">
        <f>IF(Values_Entered,A223+1,"")</f>
        <v/>
      </c>
      <c r="B224" s="150" t="str">
        <f t="shared" si="24"/>
        <v/>
      </c>
      <c r="C224" s="148" t="str">
        <f t="shared" si="30"/>
        <v/>
      </c>
      <c r="D224" s="148" t="str">
        <f t="shared" si="25"/>
        <v/>
      </c>
      <c r="E224" s="149" t="e">
        <f t="shared" si="26"/>
        <v>#VALUE!</v>
      </c>
      <c r="F224" s="148" t="e">
        <f t="shared" si="27"/>
        <v>#VALUE!</v>
      </c>
      <c r="G224" s="148" t="str">
        <f t="shared" si="28"/>
        <v/>
      </c>
      <c r="H224" s="148" t="str">
        <f t="shared" si="31"/>
        <v/>
      </c>
      <c r="I224" s="148" t="e">
        <f t="shared" si="29"/>
        <v>#VALUE!</v>
      </c>
      <c r="J224" s="148">
        <f>SUM($H$18:$H224)</f>
        <v>0</v>
      </c>
    </row>
    <row r="225" spans="1:10" x14ac:dyDescent="0.2">
      <c r="A225" s="151" t="str">
        <f>IF(Values_Entered,A224+1,"")</f>
        <v/>
      </c>
      <c r="B225" s="150" t="str">
        <f t="shared" si="24"/>
        <v/>
      </c>
      <c r="C225" s="148" t="str">
        <f t="shared" si="30"/>
        <v/>
      </c>
      <c r="D225" s="148" t="str">
        <f t="shared" si="25"/>
        <v/>
      </c>
      <c r="E225" s="149" t="e">
        <f t="shared" si="26"/>
        <v>#VALUE!</v>
      </c>
      <c r="F225" s="148" t="e">
        <f t="shared" si="27"/>
        <v>#VALUE!</v>
      </c>
      <c r="G225" s="148" t="str">
        <f t="shared" si="28"/>
        <v/>
      </c>
      <c r="H225" s="148" t="str">
        <f t="shared" si="31"/>
        <v/>
      </c>
      <c r="I225" s="148" t="e">
        <f t="shared" si="29"/>
        <v>#VALUE!</v>
      </c>
      <c r="J225" s="148">
        <f>SUM($H$18:$H225)</f>
        <v>0</v>
      </c>
    </row>
    <row r="226" spans="1:10" x14ac:dyDescent="0.2">
      <c r="A226" s="151" t="str">
        <f>IF(Values_Entered,A225+1,"")</f>
        <v/>
      </c>
      <c r="B226" s="150" t="str">
        <f t="shared" si="24"/>
        <v/>
      </c>
      <c r="C226" s="148" t="str">
        <f t="shared" si="30"/>
        <v/>
      </c>
      <c r="D226" s="148" t="str">
        <f t="shared" si="25"/>
        <v/>
      </c>
      <c r="E226" s="149" t="e">
        <f t="shared" si="26"/>
        <v>#VALUE!</v>
      </c>
      <c r="F226" s="148" t="e">
        <f t="shared" si="27"/>
        <v>#VALUE!</v>
      </c>
      <c r="G226" s="148" t="str">
        <f t="shared" si="28"/>
        <v/>
      </c>
      <c r="H226" s="148" t="str">
        <f t="shared" si="31"/>
        <v/>
      </c>
      <c r="I226" s="148" t="e">
        <f t="shared" si="29"/>
        <v>#VALUE!</v>
      </c>
      <c r="J226" s="148">
        <f>SUM($H$18:$H226)</f>
        <v>0</v>
      </c>
    </row>
    <row r="227" spans="1:10" x14ac:dyDescent="0.2">
      <c r="A227" s="151" t="str">
        <f>IF(Values_Entered,A226+1,"")</f>
        <v/>
      </c>
      <c r="B227" s="150" t="str">
        <f t="shared" si="24"/>
        <v/>
      </c>
      <c r="C227" s="148" t="str">
        <f t="shared" si="30"/>
        <v/>
      </c>
      <c r="D227" s="148" t="str">
        <f t="shared" si="25"/>
        <v/>
      </c>
      <c r="E227" s="149" t="e">
        <f t="shared" si="26"/>
        <v>#VALUE!</v>
      </c>
      <c r="F227" s="148" t="e">
        <f t="shared" si="27"/>
        <v>#VALUE!</v>
      </c>
      <c r="G227" s="148" t="str">
        <f t="shared" si="28"/>
        <v/>
      </c>
      <c r="H227" s="148" t="str">
        <f t="shared" si="31"/>
        <v/>
      </c>
      <c r="I227" s="148" t="e">
        <f t="shared" si="29"/>
        <v>#VALUE!</v>
      </c>
      <c r="J227" s="148">
        <f>SUM($H$18:$H227)</f>
        <v>0</v>
      </c>
    </row>
    <row r="228" spans="1:10" x14ac:dyDescent="0.2">
      <c r="A228" s="151" t="str">
        <f>IF(Values_Entered,A227+1,"")</f>
        <v/>
      </c>
      <c r="B228" s="150" t="str">
        <f t="shared" si="24"/>
        <v/>
      </c>
      <c r="C228" s="148" t="str">
        <f t="shared" si="30"/>
        <v/>
      </c>
      <c r="D228" s="148" t="str">
        <f t="shared" si="25"/>
        <v/>
      </c>
      <c r="E228" s="149" t="e">
        <f t="shared" si="26"/>
        <v>#VALUE!</v>
      </c>
      <c r="F228" s="148" t="e">
        <f t="shared" si="27"/>
        <v>#VALUE!</v>
      </c>
      <c r="G228" s="148" t="str">
        <f t="shared" si="28"/>
        <v/>
      </c>
      <c r="H228" s="148" t="str">
        <f t="shared" si="31"/>
        <v/>
      </c>
      <c r="I228" s="148" t="e">
        <f t="shared" si="29"/>
        <v>#VALUE!</v>
      </c>
      <c r="J228" s="148">
        <f>SUM($H$18:$H228)</f>
        <v>0</v>
      </c>
    </row>
    <row r="229" spans="1:10" x14ac:dyDescent="0.2">
      <c r="A229" s="151" t="str">
        <f>IF(Values_Entered,A228+1,"")</f>
        <v/>
      </c>
      <c r="B229" s="150" t="str">
        <f t="shared" si="24"/>
        <v/>
      </c>
      <c r="C229" s="148" t="str">
        <f t="shared" si="30"/>
        <v/>
      </c>
      <c r="D229" s="148" t="str">
        <f t="shared" si="25"/>
        <v/>
      </c>
      <c r="E229" s="149" t="e">
        <f t="shared" si="26"/>
        <v>#VALUE!</v>
      </c>
      <c r="F229" s="148" t="e">
        <f t="shared" si="27"/>
        <v>#VALUE!</v>
      </c>
      <c r="G229" s="148" t="str">
        <f t="shared" si="28"/>
        <v/>
      </c>
      <c r="H229" s="148" t="str">
        <f t="shared" si="31"/>
        <v/>
      </c>
      <c r="I229" s="148" t="e">
        <f t="shared" si="29"/>
        <v>#VALUE!</v>
      </c>
      <c r="J229" s="148">
        <f>SUM($H$18:$H229)</f>
        <v>0</v>
      </c>
    </row>
    <row r="230" spans="1:10" x14ac:dyDescent="0.2">
      <c r="A230" s="151" t="str">
        <f>IF(Values_Entered,A229+1,"")</f>
        <v/>
      </c>
      <c r="B230" s="150" t="str">
        <f t="shared" si="24"/>
        <v/>
      </c>
      <c r="C230" s="148" t="str">
        <f t="shared" si="30"/>
        <v/>
      </c>
      <c r="D230" s="148" t="str">
        <f t="shared" si="25"/>
        <v/>
      </c>
      <c r="E230" s="149" t="e">
        <f t="shared" si="26"/>
        <v>#VALUE!</v>
      </c>
      <c r="F230" s="148" t="e">
        <f t="shared" si="27"/>
        <v>#VALUE!</v>
      </c>
      <c r="G230" s="148" t="str">
        <f t="shared" si="28"/>
        <v/>
      </c>
      <c r="H230" s="148" t="str">
        <f t="shared" si="31"/>
        <v/>
      </c>
      <c r="I230" s="148" t="e">
        <f t="shared" si="29"/>
        <v>#VALUE!</v>
      </c>
      <c r="J230" s="148">
        <f>SUM($H$18:$H230)</f>
        <v>0</v>
      </c>
    </row>
    <row r="231" spans="1:10" x14ac:dyDescent="0.2">
      <c r="A231" s="151" t="str">
        <f>IF(Values_Entered,A230+1,"")</f>
        <v/>
      </c>
      <c r="B231" s="150" t="str">
        <f t="shared" si="24"/>
        <v/>
      </c>
      <c r="C231" s="148" t="str">
        <f t="shared" si="30"/>
        <v/>
      </c>
      <c r="D231" s="148" t="str">
        <f t="shared" si="25"/>
        <v/>
      </c>
      <c r="E231" s="149" t="e">
        <f t="shared" si="26"/>
        <v>#VALUE!</v>
      </c>
      <c r="F231" s="148" t="e">
        <f t="shared" si="27"/>
        <v>#VALUE!</v>
      </c>
      <c r="G231" s="148" t="str">
        <f t="shared" si="28"/>
        <v/>
      </c>
      <c r="H231" s="148" t="str">
        <f t="shared" si="31"/>
        <v/>
      </c>
      <c r="I231" s="148" t="e">
        <f t="shared" si="29"/>
        <v>#VALUE!</v>
      </c>
      <c r="J231" s="148">
        <f>SUM($H$18:$H231)</f>
        <v>0</v>
      </c>
    </row>
    <row r="232" spans="1:10" x14ac:dyDescent="0.2">
      <c r="A232" s="151" t="str">
        <f>IF(Values_Entered,A231+1,"")</f>
        <v/>
      </c>
      <c r="B232" s="150" t="str">
        <f t="shared" si="24"/>
        <v/>
      </c>
      <c r="C232" s="148" t="str">
        <f t="shared" si="30"/>
        <v/>
      </c>
      <c r="D232" s="148" t="str">
        <f t="shared" si="25"/>
        <v/>
      </c>
      <c r="E232" s="149" t="e">
        <f t="shared" si="26"/>
        <v>#VALUE!</v>
      </c>
      <c r="F232" s="148" t="e">
        <f t="shared" si="27"/>
        <v>#VALUE!</v>
      </c>
      <c r="G232" s="148" t="str">
        <f t="shared" si="28"/>
        <v/>
      </c>
      <c r="H232" s="148" t="str">
        <f t="shared" si="31"/>
        <v/>
      </c>
      <c r="I232" s="148" t="e">
        <f t="shared" si="29"/>
        <v>#VALUE!</v>
      </c>
      <c r="J232" s="148">
        <f>SUM($H$18:$H232)</f>
        <v>0</v>
      </c>
    </row>
    <row r="233" spans="1:10" x14ac:dyDescent="0.2">
      <c r="A233" s="151" t="str">
        <f>IF(Values_Entered,A232+1,"")</f>
        <v/>
      </c>
      <c r="B233" s="150" t="str">
        <f t="shared" si="24"/>
        <v/>
      </c>
      <c r="C233" s="148" t="str">
        <f t="shared" si="30"/>
        <v/>
      </c>
      <c r="D233" s="148" t="str">
        <f t="shared" si="25"/>
        <v/>
      </c>
      <c r="E233" s="149" t="e">
        <f t="shared" si="26"/>
        <v>#VALUE!</v>
      </c>
      <c r="F233" s="148" t="e">
        <f t="shared" si="27"/>
        <v>#VALUE!</v>
      </c>
      <c r="G233" s="148" t="str">
        <f t="shared" si="28"/>
        <v/>
      </c>
      <c r="H233" s="148" t="str">
        <f t="shared" si="31"/>
        <v/>
      </c>
      <c r="I233" s="148" t="e">
        <f t="shared" si="29"/>
        <v>#VALUE!</v>
      </c>
      <c r="J233" s="148">
        <f>SUM($H$18:$H233)</f>
        <v>0</v>
      </c>
    </row>
    <row r="234" spans="1:10" x14ac:dyDescent="0.2">
      <c r="A234" s="151" t="str">
        <f>IF(Values_Entered,A233+1,"")</f>
        <v/>
      </c>
      <c r="B234" s="150" t="str">
        <f t="shared" si="24"/>
        <v/>
      </c>
      <c r="C234" s="148" t="str">
        <f t="shared" si="30"/>
        <v/>
      </c>
      <c r="D234" s="148" t="str">
        <f t="shared" si="25"/>
        <v/>
      </c>
      <c r="E234" s="149" t="e">
        <f t="shared" si="26"/>
        <v>#VALUE!</v>
      </c>
      <c r="F234" s="148" t="e">
        <f t="shared" si="27"/>
        <v>#VALUE!</v>
      </c>
      <c r="G234" s="148" t="str">
        <f t="shared" si="28"/>
        <v/>
      </c>
      <c r="H234" s="148" t="str">
        <f t="shared" si="31"/>
        <v/>
      </c>
      <c r="I234" s="148" t="e">
        <f t="shared" si="29"/>
        <v>#VALUE!</v>
      </c>
      <c r="J234" s="148">
        <f>SUM($H$18:$H234)</f>
        <v>0</v>
      </c>
    </row>
    <row r="235" spans="1:10" x14ac:dyDescent="0.2">
      <c r="A235" s="151" t="str">
        <f>IF(Values_Entered,A234+1,"")</f>
        <v/>
      </c>
      <c r="B235" s="150" t="str">
        <f t="shared" si="24"/>
        <v/>
      </c>
      <c r="C235" s="148" t="str">
        <f t="shared" si="30"/>
        <v/>
      </c>
      <c r="D235" s="148" t="str">
        <f t="shared" si="25"/>
        <v/>
      </c>
      <c r="E235" s="149" t="e">
        <f t="shared" si="26"/>
        <v>#VALUE!</v>
      </c>
      <c r="F235" s="148" t="e">
        <f t="shared" si="27"/>
        <v>#VALUE!</v>
      </c>
      <c r="G235" s="148" t="str">
        <f t="shared" si="28"/>
        <v/>
      </c>
      <c r="H235" s="148" t="str">
        <f t="shared" si="31"/>
        <v/>
      </c>
      <c r="I235" s="148" t="e">
        <f t="shared" si="29"/>
        <v>#VALUE!</v>
      </c>
      <c r="J235" s="148">
        <f>SUM($H$18:$H235)</f>
        <v>0</v>
      </c>
    </row>
    <row r="236" spans="1:10" x14ac:dyDescent="0.2">
      <c r="A236" s="151" t="str">
        <f>IF(Values_Entered,A235+1,"")</f>
        <v/>
      </c>
      <c r="B236" s="150" t="str">
        <f t="shared" si="24"/>
        <v/>
      </c>
      <c r="C236" s="148" t="str">
        <f t="shared" si="30"/>
        <v/>
      </c>
      <c r="D236" s="148" t="str">
        <f t="shared" si="25"/>
        <v/>
      </c>
      <c r="E236" s="149" t="e">
        <f t="shared" si="26"/>
        <v>#VALUE!</v>
      </c>
      <c r="F236" s="148" t="e">
        <f t="shared" si="27"/>
        <v>#VALUE!</v>
      </c>
      <c r="G236" s="148" t="str">
        <f t="shared" si="28"/>
        <v/>
      </c>
      <c r="H236" s="148" t="str">
        <f t="shared" si="31"/>
        <v/>
      </c>
      <c r="I236" s="148" t="e">
        <f t="shared" si="29"/>
        <v>#VALUE!</v>
      </c>
      <c r="J236" s="148">
        <f>SUM($H$18:$H236)</f>
        <v>0</v>
      </c>
    </row>
    <row r="237" spans="1:10" x14ac:dyDescent="0.2">
      <c r="A237" s="151" t="str">
        <f>IF(Values_Entered,A236+1,"")</f>
        <v/>
      </c>
      <c r="B237" s="150" t="str">
        <f t="shared" si="24"/>
        <v/>
      </c>
      <c r="C237" s="148" t="str">
        <f t="shared" si="30"/>
        <v/>
      </c>
      <c r="D237" s="148" t="str">
        <f t="shared" si="25"/>
        <v/>
      </c>
      <c r="E237" s="149" t="e">
        <f t="shared" si="26"/>
        <v>#VALUE!</v>
      </c>
      <c r="F237" s="148" t="e">
        <f t="shared" si="27"/>
        <v>#VALUE!</v>
      </c>
      <c r="G237" s="148" t="str">
        <f t="shared" si="28"/>
        <v/>
      </c>
      <c r="H237" s="148" t="str">
        <f t="shared" si="31"/>
        <v/>
      </c>
      <c r="I237" s="148" t="e">
        <f t="shared" si="29"/>
        <v>#VALUE!</v>
      </c>
      <c r="J237" s="148">
        <f>SUM($H$18:$H237)</f>
        <v>0</v>
      </c>
    </row>
    <row r="238" spans="1:10" x14ac:dyDescent="0.2">
      <c r="A238" s="151" t="str">
        <f>IF(Values_Entered,A237+1,"")</f>
        <v/>
      </c>
      <c r="B238" s="150" t="str">
        <f t="shared" si="24"/>
        <v/>
      </c>
      <c r="C238" s="148" t="str">
        <f t="shared" si="30"/>
        <v/>
      </c>
      <c r="D238" s="148" t="str">
        <f t="shared" si="25"/>
        <v/>
      </c>
      <c r="E238" s="149" t="e">
        <f t="shared" si="26"/>
        <v>#VALUE!</v>
      </c>
      <c r="F238" s="148" t="e">
        <f t="shared" si="27"/>
        <v>#VALUE!</v>
      </c>
      <c r="G238" s="148" t="str">
        <f t="shared" si="28"/>
        <v/>
      </c>
      <c r="H238" s="148" t="str">
        <f t="shared" si="31"/>
        <v/>
      </c>
      <c r="I238" s="148" t="e">
        <f t="shared" si="29"/>
        <v>#VALUE!</v>
      </c>
      <c r="J238" s="148">
        <f>SUM($H$18:$H238)</f>
        <v>0</v>
      </c>
    </row>
    <row r="239" spans="1:10" x14ac:dyDescent="0.2">
      <c r="A239" s="151" t="str">
        <f>IF(Values_Entered,A238+1,"")</f>
        <v/>
      </c>
      <c r="B239" s="150" t="str">
        <f t="shared" si="24"/>
        <v/>
      </c>
      <c r="C239" s="148" t="str">
        <f t="shared" si="30"/>
        <v/>
      </c>
      <c r="D239" s="148" t="str">
        <f t="shared" si="25"/>
        <v/>
      </c>
      <c r="E239" s="149" t="e">
        <f t="shared" si="26"/>
        <v>#VALUE!</v>
      </c>
      <c r="F239" s="148" t="e">
        <f t="shared" si="27"/>
        <v>#VALUE!</v>
      </c>
      <c r="G239" s="148" t="str">
        <f t="shared" si="28"/>
        <v/>
      </c>
      <c r="H239" s="148" t="str">
        <f t="shared" si="31"/>
        <v/>
      </c>
      <c r="I239" s="148" t="e">
        <f t="shared" si="29"/>
        <v>#VALUE!</v>
      </c>
      <c r="J239" s="148">
        <f>SUM($H$18:$H239)</f>
        <v>0</v>
      </c>
    </row>
    <row r="240" spans="1:10" x14ac:dyDescent="0.2">
      <c r="A240" s="151" t="str">
        <f>IF(Values_Entered,A239+1,"")</f>
        <v/>
      </c>
      <c r="B240" s="150" t="str">
        <f t="shared" si="24"/>
        <v/>
      </c>
      <c r="C240" s="148" t="str">
        <f t="shared" si="30"/>
        <v/>
      </c>
      <c r="D240" s="148" t="str">
        <f t="shared" si="25"/>
        <v/>
      </c>
      <c r="E240" s="149" t="e">
        <f t="shared" si="26"/>
        <v>#VALUE!</v>
      </c>
      <c r="F240" s="148" t="e">
        <f t="shared" si="27"/>
        <v>#VALUE!</v>
      </c>
      <c r="G240" s="148" t="str">
        <f t="shared" si="28"/>
        <v/>
      </c>
      <c r="H240" s="148" t="str">
        <f t="shared" si="31"/>
        <v/>
      </c>
      <c r="I240" s="148" t="e">
        <f t="shared" si="29"/>
        <v>#VALUE!</v>
      </c>
      <c r="J240" s="148">
        <f>SUM($H$18:$H240)</f>
        <v>0</v>
      </c>
    </row>
    <row r="241" spans="1:10" x14ac:dyDescent="0.2">
      <c r="A241" s="151" t="str">
        <f>IF(Values_Entered,A240+1,"")</f>
        <v/>
      </c>
      <c r="B241" s="150" t="str">
        <f t="shared" si="24"/>
        <v/>
      </c>
      <c r="C241" s="148" t="str">
        <f t="shared" si="30"/>
        <v/>
      </c>
      <c r="D241" s="148" t="str">
        <f t="shared" si="25"/>
        <v/>
      </c>
      <c r="E241" s="149" t="e">
        <f t="shared" si="26"/>
        <v>#VALUE!</v>
      </c>
      <c r="F241" s="148" t="e">
        <f t="shared" si="27"/>
        <v>#VALUE!</v>
      </c>
      <c r="G241" s="148" t="str">
        <f t="shared" si="28"/>
        <v/>
      </c>
      <c r="H241" s="148" t="str">
        <f t="shared" si="31"/>
        <v/>
      </c>
      <c r="I241" s="148" t="e">
        <f t="shared" si="29"/>
        <v>#VALUE!</v>
      </c>
      <c r="J241" s="148">
        <f>SUM($H$18:$H241)</f>
        <v>0</v>
      </c>
    </row>
    <row r="242" spans="1:10" x14ac:dyDescent="0.2">
      <c r="A242" s="151" t="str">
        <f>IF(Values_Entered,A241+1,"")</f>
        <v/>
      </c>
      <c r="B242" s="150" t="str">
        <f t="shared" si="24"/>
        <v/>
      </c>
      <c r="C242" s="148" t="str">
        <f t="shared" si="30"/>
        <v/>
      </c>
      <c r="D242" s="148" t="str">
        <f t="shared" si="25"/>
        <v/>
      </c>
      <c r="E242" s="149" t="e">
        <f t="shared" si="26"/>
        <v>#VALUE!</v>
      </c>
      <c r="F242" s="148" t="e">
        <f t="shared" si="27"/>
        <v>#VALUE!</v>
      </c>
      <c r="G242" s="148" t="str">
        <f t="shared" si="28"/>
        <v/>
      </c>
      <c r="H242" s="148" t="str">
        <f t="shared" si="31"/>
        <v/>
      </c>
      <c r="I242" s="148" t="e">
        <f t="shared" si="29"/>
        <v>#VALUE!</v>
      </c>
      <c r="J242" s="148">
        <f>SUM($H$18:$H242)</f>
        <v>0</v>
      </c>
    </row>
    <row r="243" spans="1:10" x14ac:dyDescent="0.2">
      <c r="A243" s="151" t="str">
        <f>IF(Values_Entered,A242+1,"")</f>
        <v/>
      </c>
      <c r="B243" s="150" t="str">
        <f t="shared" si="24"/>
        <v/>
      </c>
      <c r="C243" s="148" t="str">
        <f t="shared" si="30"/>
        <v/>
      </c>
      <c r="D243" s="148" t="str">
        <f t="shared" si="25"/>
        <v/>
      </c>
      <c r="E243" s="149" t="e">
        <f t="shared" si="26"/>
        <v>#VALUE!</v>
      </c>
      <c r="F243" s="148" t="e">
        <f t="shared" si="27"/>
        <v>#VALUE!</v>
      </c>
      <c r="G243" s="148" t="str">
        <f t="shared" si="28"/>
        <v/>
      </c>
      <c r="H243" s="148" t="str">
        <f t="shared" si="31"/>
        <v/>
      </c>
      <c r="I243" s="148" t="e">
        <f t="shared" si="29"/>
        <v>#VALUE!</v>
      </c>
      <c r="J243" s="148">
        <f>SUM($H$18:$H243)</f>
        <v>0</v>
      </c>
    </row>
    <row r="244" spans="1:10" x14ac:dyDescent="0.2">
      <c r="A244" s="151" t="str">
        <f>IF(Values_Entered,A243+1,"")</f>
        <v/>
      </c>
      <c r="B244" s="150" t="str">
        <f t="shared" si="24"/>
        <v/>
      </c>
      <c r="C244" s="148" t="str">
        <f t="shared" si="30"/>
        <v/>
      </c>
      <c r="D244" s="148" t="str">
        <f t="shared" si="25"/>
        <v/>
      </c>
      <c r="E244" s="149" t="e">
        <f t="shared" si="26"/>
        <v>#VALUE!</v>
      </c>
      <c r="F244" s="148" t="e">
        <f t="shared" si="27"/>
        <v>#VALUE!</v>
      </c>
      <c r="G244" s="148" t="str">
        <f t="shared" si="28"/>
        <v/>
      </c>
      <c r="H244" s="148" t="str">
        <f t="shared" si="31"/>
        <v/>
      </c>
      <c r="I244" s="148" t="e">
        <f t="shared" si="29"/>
        <v>#VALUE!</v>
      </c>
      <c r="J244" s="148">
        <f>SUM($H$18:$H244)</f>
        <v>0</v>
      </c>
    </row>
    <row r="245" spans="1:10" x14ac:dyDescent="0.2">
      <c r="A245" s="151" t="str">
        <f>IF(Values_Entered,A244+1,"")</f>
        <v/>
      </c>
      <c r="B245" s="150" t="str">
        <f t="shared" si="24"/>
        <v/>
      </c>
      <c r="C245" s="148" t="str">
        <f t="shared" si="30"/>
        <v/>
      </c>
      <c r="D245" s="148" t="str">
        <f t="shared" si="25"/>
        <v/>
      </c>
      <c r="E245" s="149" t="e">
        <f t="shared" si="26"/>
        <v>#VALUE!</v>
      </c>
      <c r="F245" s="148" t="e">
        <f t="shared" si="27"/>
        <v>#VALUE!</v>
      </c>
      <c r="G245" s="148" t="str">
        <f t="shared" si="28"/>
        <v/>
      </c>
      <c r="H245" s="148" t="str">
        <f t="shared" si="31"/>
        <v/>
      </c>
      <c r="I245" s="148" t="e">
        <f t="shared" si="29"/>
        <v>#VALUE!</v>
      </c>
      <c r="J245" s="148">
        <f>SUM($H$18:$H245)</f>
        <v>0</v>
      </c>
    </row>
    <row r="246" spans="1:10" x14ac:dyDescent="0.2">
      <c r="A246" s="151" t="str">
        <f>IF(Values_Entered,A245+1,"")</f>
        <v/>
      </c>
      <c r="B246" s="150" t="str">
        <f t="shared" si="24"/>
        <v/>
      </c>
      <c r="C246" s="148" t="str">
        <f t="shared" si="30"/>
        <v/>
      </c>
      <c r="D246" s="148" t="str">
        <f t="shared" si="25"/>
        <v/>
      </c>
      <c r="E246" s="149" t="e">
        <f t="shared" si="26"/>
        <v>#VALUE!</v>
      </c>
      <c r="F246" s="148" t="e">
        <f t="shared" si="27"/>
        <v>#VALUE!</v>
      </c>
      <c r="G246" s="148" t="str">
        <f t="shared" si="28"/>
        <v/>
      </c>
      <c r="H246" s="148" t="str">
        <f t="shared" si="31"/>
        <v/>
      </c>
      <c r="I246" s="148" t="e">
        <f t="shared" si="29"/>
        <v>#VALUE!</v>
      </c>
      <c r="J246" s="148">
        <f>SUM($H$18:$H246)</f>
        <v>0</v>
      </c>
    </row>
    <row r="247" spans="1:10" x14ac:dyDescent="0.2">
      <c r="A247" s="151" t="str">
        <f>IF(Values_Entered,A246+1,"")</f>
        <v/>
      </c>
      <c r="B247" s="150" t="str">
        <f t="shared" si="24"/>
        <v/>
      </c>
      <c r="C247" s="148" t="str">
        <f t="shared" si="30"/>
        <v/>
      </c>
      <c r="D247" s="148" t="str">
        <f t="shared" si="25"/>
        <v/>
      </c>
      <c r="E247" s="149" t="e">
        <f t="shared" si="26"/>
        <v>#VALUE!</v>
      </c>
      <c r="F247" s="148" t="e">
        <f t="shared" si="27"/>
        <v>#VALUE!</v>
      </c>
      <c r="G247" s="148" t="str">
        <f t="shared" si="28"/>
        <v/>
      </c>
      <c r="H247" s="148" t="str">
        <f t="shared" si="31"/>
        <v/>
      </c>
      <c r="I247" s="148" t="e">
        <f t="shared" si="29"/>
        <v>#VALUE!</v>
      </c>
      <c r="J247" s="148">
        <f>SUM($H$18:$H247)</f>
        <v>0</v>
      </c>
    </row>
    <row r="248" spans="1:10" x14ac:dyDescent="0.2">
      <c r="A248" s="151" t="str">
        <f>IF(Values_Entered,A247+1,"")</f>
        <v/>
      </c>
      <c r="B248" s="150" t="str">
        <f t="shared" si="24"/>
        <v/>
      </c>
      <c r="C248" s="148" t="str">
        <f t="shared" si="30"/>
        <v/>
      </c>
      <c r="D248" s="148" t="str">
        <f t="shared" si="25"/>
        <v/>
      </c>
      <c r="E248" s="149" t="e">
        <f t="shared" si="26"/>
        <v>#VALUE!</v>
      </c>
      <c r="F248" s="148" t="e">
        <f t="shared" si="27"/>
        <v>#VALUE!</v>
      </c>
      <c r="G248" s="148" t="str">
        <f t="shared" si="28"/>
        <v/>
      </c>
      <c r="H248" s="148" t="str">
        <f t="shared" si="31"/>
        <v/>
      </c>
      <c r="I248" s="148" t="e">
        <f t="shared" si="29"/>
        <v>#VALUE!</v>
      </c>
      <c r="J248" s="148">
        <f>SUM($H$18:$H248)</f>
        <v>0</v>
      </c>
    </row>
    <row r="249" spans="1:10" x14ac:dyDescent="0.2">
      <c r="A249" s="151" t="str">
        <f>IF(Values_Entered,A248+1,"")</f>
        <v/>
      </c>
      <c r="B249" s="150" t="str">
        <f t="shared" si="24"/>
        <v/>
      </c>
      <c r="C249" s="148" t="str">
        <f t="shared" si="30"/>
        <v/>
      </c>
      <c r="D249" s="148" t="str">
        <f t="shared" si="25"/>
        <v/>
      </c>
      <c r="E249" s="149" t="e">
        <f t="shared" si="26"/>
        <v>#VALUE!</v>
      </c>
      <c r="F249" s="148" t="e">
        <f t="shared" si="27"/>
        <v>#VALUE!</v>
      </c>
      <c r="G249" s="148" t="str">
        <f t="shared" si="28"/>
        <v/>
      </c>
      <c r="H249" s="148" t="str">
        <f t="shared" si="31"/>
        <v/>
      </c>
      <c r="I249" s="148" t="e">
        <f t="shared" si="29"/>
        <v>#VALUE!</v>
      </c>
      <c r="J249" s="148">
        <f>SUM($H$18:$H249)</f>
        <v>0</v>
      </c>
    </row>
    <row r="250" spans="1:10" x14ac:dyDescent="0.2">
      <c r="A250" s="151" t="str">
        <f>IF(Values_Entered,A249+1,"")</f>
        <v/>
      </c>
      <c r="B250" s="150" t="str">
        <f t="shared" si="24"/>
        <v/>
      </c>
      <c r="C250" s="148" t="str">
        <f t="shared" si="30"/>
        <v/>
      </c>
      <c r="D250" s="148" t="str">
        <f t="shared" si="25"/>
        <v/>
      </c>
      <c r="E250" s="149" t="e">
        <f t="shared" si="26"/>
        <v>#VALUE!</v>
      </c>
      <c r="F250" s="148" t="e">
        <f t="shared" si="27"/>
        <v>#VALUE!</v>
      </c>
      <c r="G250" s="148" t="str">
        <f t="shared" si="28"/>
        <v/>
      </c>
      <c r="H250" s="148" t="str">
        <f t="shared" si="31"/>
        <v/>
      </c>
      <c r="I250" s="148" t="e">
        <f t="shared" si="29"/>
        <v>#VALUE!</v>
      </c>
      <c r="J250" s="148">
        <f>SUM($H$18:$H250)</f>
        <v>0</v>
      </c>
    </row>
    <row r="251" spans="1:10" x14ac:dyDescent="0.2">
      <c r="A251" s="151" t="str">
        <f>IF(Values_Entered,A250+1,"")</f>
        <v/>
      </c>
      <c r="B251" s="150" t="str">
        <f t="shared" si="24"/>
        <v/>
      </c>
      <c r="C251" s="148" t="str">
        <f t="shared" si="30"/>
        <v/>
      </c>
      <c r="D251" s="148" t="str">
        <f t="shared" si="25"/>
        <v/>
      </c>
      <c r="E251" s="149" t="e">
        <f t="shared" si="26"/>
        <v>#VALUE!</v>
      </c>
      <c r="F251" s="148" t="e">
        <f t="shared" si="27"/>
        <v>#VALUE!</v>
      </c>
      <c r="G251" s="148" t="str">
        <f t="shared" si="28"/>
        <v/>
      </c>
      <c r="H251" s="148" t="str">
        <f t="shared" si="31"/>
        <v/>
      </c>
      <c r="I251" s="148" t="e">
        <f t="shared" si="29"/>
        <v>#VALUE!</v>
      </c>
      <c r="J251" s="148">
        <f>SUM($H$18:$H251)</f>
        <v>0</v>
      </c>
    </row>
    <row r="252" spans="1:10" x14ac:dyDescent="0.2">
      <c r="A252" s="151" t="str">
        <f>IF(Values_Entered,A251+1,"")</f>
        <v/>
      </c>
      <c r="B252" s="150" t="str">
        <f t="shared" si="24"/>
        <v/>
      </c>
      <c r="C252" s="148" t="str">
        <f t="shared" si="30"/>
        <v/>
      </c>
      <c r="D252" s="148" t="str">
        <f t="shared" si="25"/>
        <v/>
      </c>
      <c r="E252" s="149" t="e">
        <f t="shared" si="26"/>
        <v>#VALUE!</v>
      </c>
      <c r="F252" s="148" t="e">
        <f t="shared" si="27"/>
        <v>#VALUE!</v>
      </c>
      <c r="G252" s="148" t="str">
        <f t="shared" si="28"/>
        <v/>
      </c>
      <c r="H252" s="148" t="str">
        <f t="shared" si="31"/>
        <v/>
      </c>
      <c r="I252" s="148" t="e">
        <f t="shared" si="29"/>
        <v>#VALUE!</v>
      </c>
      <c r="J252" s="148">
        <f>SUM($H$18:$H252)</f>
        <v>0</v>
      </c>
    </row>
    <row r="253" spans="1:10" x14ac:dyDescent="0.2">
      <c r="A253" s="151" t="str">
        <f>IF(Values_Entered,A252+1,"")</f>
        <v/>
      </c>
      <c r="B253" s="150" t="str">
        <f t="shared" si="24"/>
        <v/>
      </c>
      <c r="C253" s="148" t="str">
        <f t="shared" si="30"/>
        <v/>
      </c>
      <c r="D253" s="148" t="str">
        <f t="shared" si="25"/>
        <v/>
      </c>
      <c r="E253" s="149" t="e">
        <f t="shared" si="26"/>
        <v>#VALUE!</v>
      </c>
      <c r="F253" s="148" t="e">
        <f t="shared" si="27"/>
        <v>#VALUE!</v>
      </c>
      <c r="G253" s="148" t="str">
        <f t="shared" si="28"/>
        <v/>
      </c>
      <c r="H253" s="148" t="str">
        <f t="shared" si="31"/>
        <v/>
      </c>
      <c r="I253" s="148" t="e">
        <f t="shared" si="29"/>
        <v>#VALUE!</v>
      </c>
      <c r="J253" s="148">
        <f>SUM($H$18:$H253)</f>
        <v>0</v>
      </c>
    </row>
    <row r="254" spans="1:10" x14ac:dyDescent="0.2">
      <c r="A254" s="151" t="str">
        <f>IF(Values_Entered,A253+1,"")</f>
        <v/>
      </c>
      <c r="B254" s="150" t="str">
        <f t="shared" si="24"/>
        <v/>
      </c>
      <c r="C254" s="148" t="str">
        <f t="shared" si="30"/>
        <v/>
      </c>
      <c r="D254" s="148" t="str">
        <f t="shared" si="25"/>
        <v/>
      </c>
      <c r="E254" s="149" t="e">
        <f t="shared" si="26"/>
        <v>#VALUE!</v>
      </c>
      <c r="F254" s="148" t="e">
        <f t="shared" si="27"/>
        <v>#VALUE!</v>
      </c>
      <c r="G254" s="148" t="str">
        <f t="shared" si="28"/>
        <v/>
      </c>
      <c r="H254" s="148" t="str">
        <f t="shared" si="31"/>
        <v/>
      </c>
      <c r="I254" s="148" t="e">
        <f t="shared" si="29"/>
        <v>#VALUE!</v>
      </c>
      <c r="J254" s="148">
        <f>SUM($H$18:$H254)</f>
        <v>0</v>
      </c>
    </row>
    <row r="255" spans="1:10" x14ac:dyDescent="0.2">
      <c r="A255" s="151" t="str">
        <f>IF(Values_Entered,A254+1,"")</f>
        <v/>
      </c>
      <c r="B255" s="150" t="str">
        <f t="shared" si="24"/>
        <v/>
      </c>
      <c r="C255" s="148" t="str">
        <f t="shared" si="30"/>
        <v/>
      </c>
      <c r="D255" s="148" t="str">
        <f t="shared" si="25"/>
        <v/>
      </c>
      <c r="E255" s="149" t="e">
        <f t="shared" si="26"/>
        <v>#VALUE!</v>
      </c>
      <c r="F255" s="148" t="e">
        <f t="shared" si="27"/>
        <v>#VALUE!</v>
      </c>
      <c r="G255" s="148" t="str">
        <f t="shared" si="28"/>
        <v/>
      </c>
      <c r="H255" s="148" t="str">
        <f t="shared" si="31"/>
        <v/>
      </c>
      <c r="I255" s="148" t="e">
        <f t="shared" si="29"/>
        <v>#VALUE!</v>
      </c>
      <c r="J255" s="148">
        <f>SUM($H$18:$H255)</f>
        <v>0</v>
      </c>
    </row>
    <row r="256" spans="1:10" x14ac:dyDescent="0.2">
      <c r="A256" s="151" t="str">
        <f>IF(Values_Entered,A255+1,"")</f>
        <v/>
      </c>
      <c r="B256" s="150" t="str">
        <f t="shared" si="24"/>
        <v/>
      </c>
      <c r="C256" s="148" t="str">
        <f t="shared" si="30"/>
        <v/>
      </c>
      <c r="D256" s="148" t="str">
        <f t="shared" si="25"/>
        <v/>
      </c>
      <c r="E256" s="149" t="e">
        <f t="shared" si="26"/>
        <v>#VALUE!</v>
      </c>
      <c r="F256" s="148" t="e">
        <f t="shared" si="27"/>
        <v>#VALUE!</v>
      </c>
      <c r="G256" s="148" t="str">
        <f t="shared" si="28"/>
        <v/>
      </c>
      <c r="H256" s="148" t="str">
        <f t="shared" si="31"/>
        <v/>
      </c>
      <c r="I256" s="148" t="e">
        <f t="shared" si="29"/>
        <v>#VALUE!</v>
      </c>
      <c r="J256" s="148">
        <f>SUM($H$18:$H256)</f>
        <v>0</v>
      </c>
    </row>
    <row r="257" spans="1:10" x14ac:dyDescent="0.2">
      <c r="A257" s="151" t="str">
        <f>IF(Values_Entered,A256+1,"")</f>
        <v/>
      </c>
      <c r="B257" s="150" t="str">
        <f t="shared" si="24"/>
        <v/>
      </c>
      <c r="C257" s="148" t="str">
        <f t="shared" si="30"/>
        <v/>
      </c>
      <c r="D257" s="148" t="str">
        <f t="shared" si="25"/>
        <v/>
      </c>
      <c r="E257" s="149" t="e">
        <f t="shared" si="26"/>
        <v>#VALUE!</v>
      </c>
      <c r="F257" s="148" t="e">
        <f t="shared" si="27"/>
        <v>#VALUE!</v>
      </c>
      <c r="G257" s="148" t="str">
        <f t="shared" si="28"/>
        <v/>
      </c>
      <c r="H257" s="148" t="str">
        <f t="shared" si="31"/>
        <v/>
      </c>
      <c r="I257" s="148" t="e">
        <f t="shared" si="29"/>
        <v>#VALUE!</v>
      </c>
      <c r="J257" s="148">
        <f>SUM($H$18:$H257)</f>
        <v>0</v>
      </c>
    </row>
    <row r="258" spans="1:10" x14ac:dyDescent="0.2">
      <c r="A258" s="151" t="str">
        <f>IF(Values_Entered,A257+1,"")</f>
        <v/>
      </c>
      <c r="B258" s="150" t="str">
        <f t="shared" si="24"/>
        <v/>
      </c>
      <c r="C258" s="148" t="str">
        <f t="shared" si="30"/>
        <v/>
      </c>
      <c r="D258" s="148" t="str">
        <f t="shared" si="25"/>
        <v/>
      </c>
      <c r="E258" s="149" t="e">
        <f t="shared" si="26"/>
        <v>#VALUE!</v>
      </c>
      <c r="F258" s="148" t="e">
        <f t="shared" si="27"/>
        <v>#VALUE!</v>
      </c>
      <c r="G258" s="148" t="str">
        <f t="shared" si="28"/>
        <v/>
      </c>
      <c r="H258" s="148" t="str">
        <f t="shared" si="31"/>
        <v/>
      </c>
      <c r="I258" s="148" t="e">
        <f t="shared" si="29"/>
        <v>#VALUE!</v>
      </c>
      <c r="J258" s="148">
        <f>SUM($H$18:$H258)</f>
        <v>0</v>
      </c>
    </row>
    <row r="259" spans="1:10" x14ac:dyDescent="0.2">
      <c r="A259" s="151" t="str">
        <f>IF(Values_Entered,A258+1,"")</f>
        <v/>
      </c>
      <c r="B259" s="150" t="str">
        <f t="shared" si="24"/>
        <v/>
      </c>
      <c r="C259" s="148" t="str">
        <f t="shared" si="30"/>
        <v/>
      </c>
      <c r="D259" s="148" t="str">
        <f t="shared" si="25"/>
        <v/>
      </c>
      <c r="E259" s="149" t="e">
        <f t="shared" si="26"/>
        <v>#VALUE!</v>
      </c>
      <c r="F259" s="148" t="e">
        <f t="shared" si="27"/>
        <v>#VALUE!</v>
      </c>
      <c r="G259" s="148" t="str">
        <f t="shared" si="28"/>
        <v/>
      </c>
      <c r="H259" s="148" t="str">
        <f t="shared" si="31"/>
        <v/>
      </c>
      <c r="I259" s="148" t="e">
        <f t="shared" si="29"/>
        <v>#VALUE!</v>
      </c>
      <c r="J259" s="148">
        <f>SUM($H$18:$H259)</f>
        <v>0</v>
      </c>
    </row>
    <row r="260" spans="1:10" x14ac:dyDescent="0.2">
      <c r="A260" s="151" t="str">
        <f>IF(Values_Entered,A259+1,"")</f>
        <v/>
      </c>
      <c r="B260" s="150" t="str">
        <f t="shared" si="24"/>
        <v/>
      </c>
      <c r="C260" s="148" t="str">
        <f t="shared" si="30"/>
        <v/>
      </c>
      <c r="D260" s="148" t="str">
        <f t="shared" si="25"/>
        <v/>
      </c>
      <c r="E260" s="149" t="e">
        <f t="shared" si="26"/>
        <v>#VALUE!</v>
      </c>
      <c r="F260" s="148" t="e">
        <f t="shared" si="27"/>
        <v>#VALUE!</v>
      </c>
      <c r="G260" s="148" t="str">
        <f t="shared" si="28"/>
        <v/>
      </c>
      <c r="H260" s="148" t="str">
        <f t="shared" si="31"/>
        <v/>
      </c>
      <c r="I260" s="148" t="e">
        <f t="shared" si="29"/>
        <v>#VALUE!</v>
      </c>
      <c r="J260" s="148">
        <f>SUM($H$18:$H260)</f>
        <v>0</v>
      </c>
    </row>
    <row r="261" spans="1:10" x14ac:dyDescent="0.2">
      <c r="A261" s="151" t="str">
        <f>IF(Values_Entered,A260+1,"")</f>
        <v/>
      </c>
      <c r="B261" s="150" t="str">
        <f t="shared" si="24"/>
        <v/>
      </c>
      <c r="C261" s="148" t="str">
        <f t="shared" si="30"/>
        <v/>
      </c>
      <c r="D261" s="148" t="str">
        <f t="shared" si="25"/>
        <v/>
      </c>
      <c r="E261" s="149" t="e">
        <f t="shared" si="26"/>
        <v>#VALUE!</v>
      </c>
      <c r="F261" s="148" t="e">
        <f t="shared" si="27"/>
        <v>#VALUE!</v>
      </c>
      <c r="G261" s="148" t="str">
        <f t="shared" si="28"/>
        <v/>
      </c>
      <c r="H261" s="148" t="str">
        <f t="shared" si="31"/>
        <v/>
      </c>
      <c r="I261" s="148" t="e">
        <f t="shared" si="29"/>
        <v>#VALUE!</v>
      </c>
      <c r="J261" s="148">
        <f>SUM($H$18:$H261)</f>
        <v>0</v>
      </c>
    </row>
    <row r="262" spans="1:10" x14ac:dyDescent="0.2">
      <c r="A262" s="151" t="str">
        <f>IF(Values_Entered,A261+1,"")</f>
        <v/>
      </c>
      <c r="B262" s="150" t="str">
        <f t="shared" si="24"/>
        <v/>
      </c>
      <c r="C262" s="148" t="str">
        <f t="shared" si="30"/>
        <v/>
      </c>
      <c r="D262" s="148" t="str">
        <f t="shared" si="25"/>
        <v/>
      </c>
      <c r="E262" s="149" t="e">
        <f t="shared" si="26"/>
        <v>#VALUE!</v>
      </c>
      <c r="F262" s="148" t="e">
        <f t="shared" si="27"/>
        <v>#VALUE!</v>
      </c>
      <c r="G262" s="148" t="str">
        <f t="shared" si="28"/>
        <v/>
      </c>
      <c r="H262" s="148" t="str">
        <f t="shared" si="31"/>
        <v/>
      </c>
      <c r="I262" s="148" t="e">
        <f t="shared" si="29"/>
        <v>#VALUE!</v>
      </c>
      <c r="J262" s="148">
        <f>SUM($H$18:$H262)</f>
        <v>0</v>
      </c>
    </row>
    <row r="263" spans="1:10" x14ac:dyDescent="0.2">
      <c r="A263" s="151" t="str">
        <f>IF(Values_Entered,A262+1,"")</f>
        <v/>
      </c>
      <c r="B263" s="150" t="str">
        <f t="shared" si="24"/>
        <v/>
      </c>
      <c r="C263" s="148" t="str">
        <f t="shared" si="30"/>
        <v/>
      </c>
      <c r="D263" s="148" t="str">
        <f t="shared" si="25"/>
        <v/>
      </c>
      <c r="E263" s="149" t="e">
        <f t="shared" si="26"/>
        <v>#VALUE!</v>
      </c>
      <c r="F263" s="148" t="e">
        <f t="shared" si="27"/>
        <v>#VALUE!</v>
      </c>
      <c r="G263" s="148" t="str">
        <f t="shared" si="28"/>
        <v/>
      </c>
      <c r="H263" s="148" t="str">
        <f t="shared" si="31"/>
        <v/>
      </c>
      <c r="I263" s="148" t="e">
        <f t="shared" si="29"/>
        <v>#VALUE!</v>
      </c>
      <c r="J263" s="148">
        <f>SUM($H$18:$H263)</f>
        <v>0</v>
      </c>
    </row>
    <row r="264" spans="1:10" x14ac:dyDescent="0.2">
      <c r="A264" s="151" t="str">
        <f>IF(Values_Entered,A263+1,"")</f>
        <v/>
      </c>
      <c r="B264" s="150" t="str">
        <f t="shared" si="24"/>
        <v/>
      </c>
      <c r="C264" s="148" t="str">
        <f t="shared" si="30"/>
        <v/>
      </c>
      <c r="D264" s="148" t="str">
        <f t="shared" si="25"/>
        <v/>
      </c>
      <c r="E264" s="149" t="e">
        <f t="shared" si="26"/>
        <v>#VALUE!</v>
      </c>
      <c r="F264" s="148" t="e">
        <f t="shared" si="27"/>
        <v>#VALUE!</v>
      </c>
      <c r="G264" s="148" t="str">
        <f t="shared" si="28"/>
        <v/>
      </c>
      <c r="H264" s="148" t="str">
        <f t="shared" si="31"/>
        <v/>
      </c>
      <c r="I264" s="148" t="e">
        <f t="shared" si="29"/>
        <v>#VALUE!</v>
      </c>
      <c r="J264" s="148">
        <f>SUM($H$18:$H264)</f>
        <v>0</v>
      </c>
    </row>
    <row r="265" spans="1:10" x14ac:dyDescent="0.2">
      <c r="A265" s="151" t="str">
        <f>IF(Values_Entered,A264+1,"")</f>
        <v/>
      </c>
      <c r="B265" s="150" t="str">
        <f t="shared" si="24"/>
        <v/>
      </c>
      <c r="C265" s="148" t="str">
        <f t="shared" si="30"/>
        <v/>
      </c>
      <c r="D265" s="148" t="str">
        <f t="shared" si="25"/>
        <v/>
      </c>
      <c r="E265" s="149" t="e">
        <f t="shared" si="26"/>
        <v>#VALUE!</v>
      </c>
      <c r="F265" s="148" t="e">
        <f t="shared" si="27"/>
        <v>#VALUE!</v>
      </c>
      <c r="G265" s="148" t="str">
        <f t="shared" si="28"/>
        <v/>
      </c>
      <c r="H265" s="148" t="str">
        <f t="shared" si="31"/>
        <v/>
      </c>
      <c r="I265" s="148" t="e">
        <f t="shared" si="29"/>
        <v>#VALUE!</v>
      </c>
      <c r="J265" s="148">
        <f>SUM($H$18:$H265)</f>
        <v>0</v>
      </c>
    </row>
    <row r="266" spans="1:10" x14ac:dyDescent="0.2">
      <c r="A266" s="151" t="str">
        <f>IF(Values_Entered,A265+1,"")</f>
        <v/>
      </c>
      <c r="B266" s="150" t="str">
        <f t="shared" si="24"/>
        <v/>
      </c>
      <c r="C266" s="148" t="str">
        <f t="shared" si="30"/>
        <v/>
      </c>
      <c r="D266" s="148" t="str">
        <f t="shared" si="25"/>
        <v/>
      </c>
      <c r="E266" s="149" t="e">
        <f t="shared" si="26"/>
        <v>#VALUE!</v>
      </c>
      <c r="F266" s="148" t="e">
        <f t="shared" si="27"/>
        <v>#VALUE!</v>
      </c>
      <c r="G266" s="148" t="str">
        <f t="shared" si="28"/>
        <v/>
      </c>
      <c r="H266" s="148" t="str">
        <f t="shared" si="31"/>
        <v/>
      </c>
      <c r="I266" s="148" t="e">
        <f t="shared" si="29"/>
        <v>#VALUE!</v>
      </c>
      <c r="J266" s="148">
        <f>SUM($H$18:$H266)</f>
        <v>0</v>
      </c>
    </row>
    <row r="267" spans="1:10" x14ac:dyDescent="0.2">
      <c r="A267" s="151" t="str">
        <f>IF(Values_Entered,A266+1,"")</f>
        <v/>
      </c>
      <c r="B267" s="150" t="str">
        <f t="shared" si="24"/>
        <v/>
      </c>
      <c r="C267" s="148" t="str">
        <f t="shared" si="30"/>
        <v/>
      </c>
      <c r="D267" s="148" t="str">
        <f t="shared" si="25"/>
        <v/>
      </c>
      <c r="E267" s="149" t="e">
        <f t="shared" si="26"/>
        <v>#VALUE!</v>
      </c>
      <c r="F267" s="148" t="e">
        <f t="shared" si="27"/>
        <v>#VALUE!</v>
      </c>
      <c r="G267" s="148" t="str">
        <f t="shared" si="28"/>
        <v/>
      </c>
      <c r="H267" s="148" t="str">
        <f t="shared" si="31"/>
        <v/>
      </c>
      <c r="I267" s="148" t="e">
        <f t="shared" si="29"/>
        <v>#VALUE!</v>
      </c>
      <c r="J267" s="148">
        <f>SUM($H$18:$H267)</f>
        <v>0</v>
      </c>
    </row>
    <row r="268" spans="1:10" x14ac:dyDescent="0.2">
      <c r="A268" s="151" t="str">
        <f>IF(Values_Entered,A267+1,"")</f>
        <v/>
      </c>
      <c r="B268" s="150" t="str">
        <f t="shared" si="24"/>
        <v/>
      </c>
      <c r="C268" s="148" t="str">
        <f t="shared" si="30"/>
        <v/>
      </c>
      <c r="D268" s="148" t="str">
        <f t="shared" si="25"/>
        <v/>
      </c>
      <c r="E268" s="149" t="e">
        <f t="shared" si="26"/>
        <v>#VALUE!</v>
      </c>
      <c r="F268" s="148" t="e">
        <f t="shared" si="27"/>
        <v>#VALUE!</v>
      </c>
      <c r="G268" s="148" t="str">
        <f t="shared" si="28"/>
        <v/>
      </c>
      <c r="H268" s="148" t="str">
        <f t="shared" si="31"/>
        <v/>
      </c>
      <c r="I268" s="148" t="e">
        <f t="shared" si="29"/>
        <v>#VALUE!</v>
      </c>
      <c r="J268" s="148">
        <f>SUM($H$18:$H268)</f>
        <v>0</v>
      </c>
    </row>
    <row r="269" spans="1:10" x14ac:dyDescent="0.2">
      <c r="A269" s="151" t="str">
        <f>IF(Values_Entered,A268+1,"")</f>
        <v/>
      </c>
      <c r="B269" s="150" t="str">
        <f t="shared" si="24"/>
        <v/>
      </c>
      <c r="C269" s="148" t="str">
        <f t="shared" si="30"/>
        <v/>
      </c>
      <c r="D269" s="148" t="str">
        <f t="shared" si="25"/>
        <v/>
      </c>
      <c r="E269" s="149" t="e">
        <f t="shared" si="26"/>
        <v>#VALUE!</v>
      </c>
      <c r="F269" s="148" t="e">
        <f t="shared" si="27"/>
        <v>#VALUE!</v>
      </c>
      <c r="G269" s="148" t="str">
        <f t="shared" si="28"/>
        <v/>
      </c>
      <c r="H269" s="148" t="str">
        <f t="shared" si="31"/>
        <v/>
      </c>
      <c r="I269" s="148" t="e">
        <f t="shared" si="29"/>
        <v>#VALUE!</v>
      </c>
      <c r="J269" s="148">
        <f>SUM($H$18:$H269)</f>
        <v>0</v>
      </c>
    </row>
    <row r="270" spans="1:10" x14ac:dyDescent="0.2">
      <c r="A270" s="151" t="str">
        <f>IF(Values_Entered,A269+1,"")</f>
        <v/>
      </c>
      <c r="B270" s="150" t="str">
        <f t="shared" si="24"/>
        <v/>
      </c>
      <c r="C270" s="148" t="str">
        <f t="shared" si="30"/>
        <v/>
      </c>
      <c r="D270" s="148" t="str">
        <f t="shared" si="25"/>
        <v/>
      </c>
      <c r="E270" s="149" t="e">
        <f t="shared" si="26"/>
        <v>#VALUE!</v>
      </c>
      <c r="F270" s="148" t="e">
        <f t="shared" si="27"/>
        <v>#VALUE!</v>
      </c>
      <c r="G270" s="148" t="str">
        <f t="shared" si="28"/>
        <v/>
      </c>
      <c r="H270" s="148" t="str">
        <f t="shared" si="31"/>
        <v/>
      </c>
      <c r="I270" s="148" t="e">
        <f t="shared" si="29"/>
        <v>#VALUE!</v>
      </c>
      <c r="J270" s="148">
        <f>SUM($H$18:$H270)</f>
        <v>0</v>
      </c>
    </row>
    <row r="271" spans="1:10" x14ac:dyDescent="0.2">
      <c r="A271" s="151" t="str">
        <f>IF(Values_Entered,A270+1,"")</f>
        <v/>
      </c>
      <c r="B271" s="150" t="str">
        <f t="shared" si="24"/>
        <v/>
      </c>
      <c r="C271" s="148" t="str">
        <f t="shared" si="30"/>
        <v/>
      </c>
      <c r="D271" s="148" t="str">
        <f t="shared" si="25"/>
        <v/>
      </c>
      <c r="E271" s="149" t="e">
        <f t="shared" si="26"/>
        <v>#VALUE!</v>
      </c>
      <c r="F271" s="148" t="e">
        <f t="shared" si="27"/>
        <v>#VALUE!</v>
      </c>
      <c r="G271" s="148" t="str">
        <f t="shared" si="28"/>
        <v/>
      </c>
      <c r="H271" s="148" t="str">
        <f t="shared" si="31"/>
        <v/>
      </c>
      <c r="I271" s="148" t="e">
        <f t="shared" si="29"/>
        <v>#VALUE!</v>
      </c>
      <c r="J271" s="148">
        <f>SUM($H$18:$H271)</f>
        <v>0</v>
      </c>
    </row>
    <row r="272" spans="1:10" x14ac:dyDescent="0.2">
      <c r="A272" s="151" t="str">
        <f>IF(Values_Entered,A271+1,"")</f>
        <v/>
      </c>
      <c r="B272" s="150" t="str">
        <f t="shared" si="24"/>
        <v/>
      </c>
      <c r="C272" s="148" t="str">
        <f t="shared" si="30"/>
        <v/>
      </c>
      <c r="D272" s="148" t="str">
        <f t="shared" si="25"/>
        <v/>
      </c>
      <c r="E272" s="149" t="e">
        <f t="shared" si="26"/>
        <v>#VALUE!</v>
      </c>
      <c r="F272" s="148" t="e">
        <f t="shared" si="27"/>
        <v>#VALUE!</v>
      </c>
      <c r="G272" s="148" t="str">
        <f t="shared" si="28"/>
        <v/>
      </c>
      <c r="H272" s="148" t="str">
        <f t="shared" si="31"/>
        <v/>
      </c>
      <c r="I272" s="148" t="e">
        <f t="shared" si="29"/>
        <v>#VALUE!</v>
      </c>
      <c r="J272" s="148">
        <f>SUM($H$18:$H272)</f>
        <v>0</v>
      </c>
    </row>
    <row r="273" spans="1:10" x14ac:dyDescent="0.2">
      <c r="A273" s="151" t="str">
        <f>IF(Values_Entered,A272+1,"")</f>
        <v/>
      </c>
      <c r="B273" s="150" t="str">
        <f t="shared" si="24"/>
        <v/>
      </c>
      <c r="C273" s="148" t="str">
        <f t="shared" si="30"/>
        <v/>
      </c>
      <c r="D273" s="148" t="str">
        <f t="shared" si="25"/>
        <v/>
      </c>
      <c r="E273" s="149" t="e">
        <f t="shared" si="26"/>
        <v>#VALUE!</v>
      </c>
      <c r="F273" s="148" t="e">
        <f t="shared" si="27"/>
        <v>#VALUE!</v>
      </c>
      <c r="G273" s="148" t="str">
        <f t="shared" si="28"/>
        <v/>
      </c>
      <c r="H273" s="148" t="str">
        <f t="shared" si="31"/>
        <v/>
      </c>
      <c r="I273" s="148" t="e">
        <f t="shared" si="29"/>
        <v>#VALUE!</v>
      </c>
      <c r="J273" s="148">
        <f>SUM($H$18:$H273)</f>
        <v>0</v>
      </c>
    </row>
    <row r="274" spans="1:10" x14ac:dyDescent="0.2">
      <c r="A274" s="151" t="str">
        <f>IF(Values_Entered,A273+1,"")</f>
        <v/>
      </c>
      <c r="B274" s="150" t="str">
        <f t="shared" ref="B274:B337" si="32">IF(Pay_Num&lt;&gt;"",DATE(YEAR(Loan_Start),MONTH(Loan_Start)+(Pay_Num)*12/Num_Pmt_Per_Year,DAY(Loan_Start)),"")</f>
        <v/>
      </c>
      <c r="C274" s="148" t="str">
        <f t="shared" si="30"/>
        <v/>
      </c>
      <c r="D274" s="148" t="str">
        <f t="shared" ref="D274:D337" si="33">IF(Pay_Num&lt;&gt;"",Scheduled_Monthly_Payment,"")</f>
        <v/>
      </c>
      <c r="E274" s="149" t="e">
        <f t="shared" ref="E274:E337" si="34">IF(AND(Pay_Num&lt;&gt;"",Sched_Pay+Scheduled_Extra_Payments&lt;Beg_Bal),Scheduled_Extra_Payments,IF(AND(Pay_Num&lt;&gt;"",Beg_Bal-Sched_Pay&gt;0),Beg_Bal-Sched_Pay,IF(Pay_Num&lt;&gt;"",0,"")))</f>
        <v>#VALUE!</v>
      </c>
      <c r="F274" s="148" t="e">
        <f t="shared" ref="F274:F337" si="35">IF(AND(Pay_Num&lt;&gt;"",Sched_Pay+Extra_Pay&lt;Beg_Bal),Sched_Pay+Extra_Pay,IF(Pay_Num&lt;&gt;"",Beg_Bal,""))</f>
        <v>#VALUE!</v>
      </c>
      <c r="G274" s="148" t="str">
        <f t="shared" ref="G274:G337" si="36">IF(Pay_Num&lt;&gt;"",Total_Pay-Int,"")</f>
        <v/>
      </c>
      <c r="H274" s="148" t="str">
        <f t="shared" si="31"/>
        <v/>
      </c>
      <c r="I274" s="148" t="e">
        <f t="shared" ref="I274:I337" si="37">IF(AND(Pay_Num&lt;&gt;"",Sched_Pay+Extra_Pay&lt;Beg_Bal),Beg_Bal-Princ,IF(Pay_Num&lt;&gt;"",0,""))</f>
        <v>#VALUE!</v>
      </c>
      <c r="J274" s="148">
        <f>SUM($H$18:$H274)</f>
        <v>0</v>
      </c>
    </row>
    <row r="275" spans="1:10" x14ac:dyDescent="0.2">
      <c r="A275" s="151" t="str">
        <f>IF(Values_Entered,A274+1,"")</f>
        <v/>
      </c>
      <c r="B275" s="150" t="str">
        <f t="shared" si="32"/>
        <v/>
      </c>
      <c r="C275" s="148" t="str">
        <f t="shared" ref="C275:C338" si="38">IF(Pay_Num&lt;&gt;"",I274,"")</f>
        <v/>
      </c>
      <c r="D275" s="148" t="str">
        <f t="shared" si="33"/>
        <v/>
      </c>
      <c r="E275" s="149" t="e">
        <f t="shared" si="34"/>
        <v>#VALUE!</v>
      </c>
      <c r="F275" s="148" t="e">
        <f t="shared" si="35"/>
        <v>#VALUE!</v>
      </c>
      <c r="G275" s="148" t="str">
        <f t="shared" si="36"/>
        <v/>
      </c>
      <c r="H275" s="148" t="str">
        <f t="shared" ref="H275:H338" si="39">IF(Pay_Num&lt;&gt;"",Beg_Bal*Interest_Rate/Num_Pmt_Per_Year,"")</f>
        <v/>
      </c>
      <c r="I275" s="148" t="e">
        <f t="shared" si="37"/>
        <v>#VALUE!</v>
      </c>
      <c r="J275" s="148">
        <f>SUM($H$18:$H275)</f>
        <v>0</v>
      </c>
    </row>
    <row r="276" spans="1:10" x14ac:dyDescent="0.2">
      <c r="A276" s="151" t="str">
        <f>IF(Values_Entered,A275+1,"")</f>
        <v/>
      </c>
      <c r="B276" s="150" t="str">
        <f t="shared" si="32"/>
        <v/>
      </c>
      <c r="C276" s="148" t="str">
        <f t="shared" si="38"/>
        <v/>
      </c>
      <c r="D276" s="148" t="str">
        <f t="shared" si="33"/>
        <v/>
      </c>
      <c r="E276" s="149" t="e">
        <f t="shared" si="34"/>
        <v>#VALUE!</v>
      </c>
      <c r="F276" s="148" t="e">
        <f t="shared" si="35"/>
        <v>#VALUE!</v>
      </c>
      <c r="G276" s="148" t="str">
        <f t="shared" si="36"/>
        <v/>
      </c>
      <c r="H276" s="148" t="str">
        <f t="shared" si="39"/>
        <v/>
      </c>
      <c r="I276" s="148" t="e">
        <f t="shared" si="37"/>
        <v>#VALUE!</v>
      </c>
      <c r="J276" s="148">
        <f>SUM($H$18:$H276)</f>
        <v>0</v>
      </c>
    </row>
    <row r="277" spans="1:10" x14ac:dyDescent="0.2">
      <c r="A277" s="151" t="str">
        <f>IF(Values_Entered,A276+1,"")</f>
        <v/>
      </c>
      <c r="B277" s="150" t="str">
        <f t="shared" si="32"/>
        <v/>
      </c>
      <c r="C277" s="148" t="str">
        <f t="shared" si="38"/>
        <v/>
      </c>
      <c r="D277" s="148" t="str">
        <f t="shared" si="33"/>
        <v/>
      </c>
      <c r="E277" s="149" t="e">
        <f t="shared" si="34"/>
        <v>#VALUE!</v>
      </c>
      <c r="F277" s="148" t="e">
        <f t="shared" si="35"/>
        <v>#VALUE!</v>
      </c>
      <c r="G277" s="148" t="str">
        <f t="shared" si="36"/>
        <v/>
      </c>
      <c r="H277" s="148" t="str">
        <f t="shared" si="39"/>
        <v/>
      </c>
      <c r="I277" s="148" t="e">
        <f t="shared" si="37"/>
        <v>#VALUE!</v>
      </c>
      <c r="J277" s="148">
        <f>SUM($H$18:$H277)</f>
        <v>0</v>
      </c>
    </row>
    <row r="278" spans="1:10" x14ac:dyDescent="0.2">
      <c r="A278" s="151" t="str">
        <f>IF(Values_Entered,A277+1,"")</f>
        <v/>
      </c>
      <c r="B278" s="150" t="str">
        <f t="shared" si="32"/>
        <v/>
      </c>
      <c r="C278" s="148" t="str">
        <f t="shared" si="38"/>
        <v/>
      </c>
      <c r="D278" s="148" t="str">
        <f t="shared" si="33"/>
        <v/>
      </c>
      <c r="E278" s="149" t="e">
        <f t="shared" si="34"/>
        <v>#VALUE!</v>
      </c>
      <c r="F278" s="148" t="e">
        <f t="shared" si="35"/>
        <v>#VALUE!</v>
      </c>
      <c r="G278" s="148" t="str">
        <f t="shared" si="36"/>
        <v/>
      </c>
      <c r="H278" s="148" t="str">
        <f t="shared" si="39"/>
        <v/>
      </c>
      <c r="I278" s="148" t="e">
        <f t="shared" si="37"/>
        <v>#VALUE!</v>
      </c>
      <c r="J278" s="148">
        <f>SUM($H$18:$H278)</f>
        <v>0</v>
      </c>
    </row>
    <row r="279" spans="1:10" x14ac:dyDescent="0.2">
      <c r="A279" s="151" t="str">
        <f>IF(Values_Entered,A278+1,"")</f>
        <v/>
      </c>
      <c r="B279" s="150" t="str">
        <f t="shared" si="32"/>
        <v/>
      </c>
      <c r="C279" s="148" t="str">
        <f t="shared" si="38"/>
        <v/>
      </c>
      <c r="D279" s="148" t="str">
        <f t="shared" si="33"/>
        <v/>
      </c>
      <c r="E279" s="149" t="e">
        <f t="shared" si="34"/>
        <v>#VALUE!</v>
      </c>
      <c r="F279" s="148" t="e">
        <f t="shared" si="35"/>
        <v>#VALUE!</v>
      </c>
      <c r="G279" s="148" t="str">
        <f t="shared" si="36"/>
        <v/>
      </c>
      <c r="H279" s="148" t="str">
        <f t="shared" si="39"/>
        <v/>
      </c>
      <c r="I279" s="148" t="e">
        <f t="shared" si="37"/>
        <v>#VALUE!</v>
      </c>
      <c r="J279" s="148">
        <f>SUM($H$18:$H279)</f>
        <v>0</v>
      </c>
    </row>
    <row r="280" spans="1:10" x14ac:dyDescent="0.2">
      <c r="A280" s="151" t="str">
        <f>IF(Values_Entered,A279+1,"")</f>
        <v/>
      </c>
      <c r="B280" s="150" t="str">
        <f t="shared" si="32"/>
        <v/>
      </c>
      <c r="C280" s="148" t="str">
        <f t="shared" si="38"/>
        <v/>
      </c>
      <c r="D280" s="148" t="str">
        <f t="shared" si="33"/>
        <v/>
      </c>
      <c r="E280" s="149" t="e">
        <f t="shared" si="34"/>
        <v>#VALUE!</v>
      </c>
      <c r="F280" s="148" t="e">
        <f t="shared" si="35"/>
        <v>#VALUE!</v>
      </c>
      <c r="G280" s="148" t="str">
        <f t="shared" si="36"/>
        <v/>
      </c>
      <c r="H280" s="148" t="str">
        <f t="shared" si="39"/>
        <v/>
      </c>
      <c r="I280" s="148" t="e">
        <f t="shared" si="37"/>
        <v>#VALUE!</v>
      </c>
      <c r="J280" s="148">
        <f>SUM($H$18:$H280)</f>
        <v>0</v>
      </c>
    </row>
    <row r="281" spans="1:10" x14ac:dyDescent="0.2">
      <c r="A281" s="151" t="str">
        <f>IF(Values_Entered,A280+1,"")</f>
        <v/>
      </c>
      <c r="B281" s="150" t="str">
        <f t="shared" si="32"/>
        <v/>
      </c>
      <c r="C281" s="148" t="str">
        <f t="shared" si="38"/>
        <v/>
      </c>
      <c r="D281" s="148" t="str">
        <f t="shared" si="33"/>
        <v/>
      </c>
      <c r="E281" s="149" t="e">
        <f t="shared" si="34"/>
        <v>#VALUE!</v>
      </c>
      <c r="F281" s="148" t="e">
        <f t="shared" si="35"/>
        <v>#VALUE!</v>
      </c>
      <c r="G281" s="148" t="str">
        <f t="shared" si="36"/>
        <v/>
      </c>
      <c r="H281" s="148" t="str">
        <f t="shared" si="39"/>
        <v/>
      </c>
      <c r="I281" s="148" t="e">
        <f t="shared" si="37"/>
        <v>#VALUE!</v>
      </c>
      <c r="J281" s="148">
        <f>SUM($H$18:$H281)</f>
        <v>0</v>
      </c>
    </row>
    <row r="282" spans="1:10" x14ac:dyDescent="0.2">
      <c r="A282" s="151" t="str">
        <f>IF(Values_Entered,A281+1,"")</f>
        <v/>
      </c>
      <c r="B282" s="150" t="str">
        <f t="shared" si="32"/>
        <v/>
      </c>
      <c r="C282" s="148" t="str">
        <f t="shared" si="38"/>
        <v/>
      </c>
      <c r="D282" s="148" t="str">
        <f t="shared" si="33"/>
        <v/>
      </c>
      <c r="E282" s="149" t="e">
        <f t="shared" si="34"/>
        <v>#VALUE!</v>
      </c>
      <c r="F282" s="148" t="e">
        <f t="shared" si="35"/>
        <v>#VALUE!</v>
      </c>
      <c r="G282" s="148" t="str">
        <f t="shared" si="36"/>
        <v/>
      </c>
      <c r="H282" s="148" t="str">
        <f t="shared" si="39"/>
        <v/>
      </c>
      <c r="I282" s="148" t="e">
        <f t="shared" si="37"/>
        <v>#VALUE!</v>
      </c>
      <c r="J282" s="148">
        <f>SUM($H$18:$H282)</f>
        <v>0</v>
      </c>
    </row>
    <row r="283" spans="1:10" x14ac:dyDescent="0.2">
      <c r="A283" s="151" t="str">
        <f>IF(Values_Entered,A282+1,"")</f>
        <v/>
      </c>
      <c r="B283" s="150" t="str">
        <f t="shared" si="32"/>
        <v/>
      </c>
      <c r="C283" s="148" t="str">
        <f t="shared" si="38"/>
        <v/>
      </c>
      <c r="D283" s="148" t="str">
        <f t="shared" si="33"/>
        <v/>
      </c>
      <c r="E283" s="149" t="e">
        <f t="shared" si="34"/>
        <v>#VALUE!</v>
      </c>
      <c r="F283" s="148" t="e">
        <f t="shared" si="35"/>
        <v>#VALUE!</v>
      </c>
      <c r="G283" s="148" t="str">
        <f t="shared" si="36"/>
        <v/>
      </c>
      <c r="H283" s="148" t="str">
        <f t="shared" si="39"/>
        <v/>
      </c>
      <c r="I283" s="148" t="e">
        <f t="shared" si="37"/>
        <v>#VALUE!</v>
      </c>
      <c r="J283" s="148">
        <f>SUM($H$18:$H283)</f>
        <v>0</v>
      </c>
    </row>
    <row r="284" spans="1:10" x14ac:dyDescent="0.2">
      <c r="A284" s="151" t="str">
        <f>IF(Values_Entered,A283+1,"")</f>
        <v/>
      </c>
      <c r="B284" s="150" t="str">
        <f t="shared" si="32"/>
        <v/>
      </c>
      <c r="C284" s="148" t="str">
        <f t="shared" si="38"/>
        <v/>
      </c>
      <c r="D284" s="148" t="str">
        <f t="shared" si="33"/>
        <v/>
      </c>
      <c r="E284" s="149" t="e">
        <f t="shared" si="34"/>
        <v>#VALUE!</v>
      </c>
      <c r="F284" s="148" t="e">
        <f t="shared" si="35"/>
        <v>#VALUE!</v>
      </c>
      <c r="G284" s="148" t="str">
        <f t="shared" si="36"/>
        <v/>
      </c>
      <c r="H284" s="148" t="str">
        <f t="shared" si="39"/>
        <v/>
      </c>
      <c r="I284" s="148" t="e">
        <f t="shared" si="37"/>
        <v>#VALUE!</v>
      </c>
      <c r="J284" s="148">
        <f>SUM($H$18:$H284)</f>
        <v>0</v>
      </c>
    </row>
    <row r="285" spans="1:10" x14ac:dyDescent="0.2">
      <c r="A285" s="151" t="str">
        <f>IF(Values_Entered,A284+1,"")</f>
        <v/>
      </c>
      <c r="B285" s="150" t="str">
        <f t="shared" si="32"/>
        <v/>
      </c>
      <c r="C285" s="148" t="str">
        <f t="shared" si="38"/>
        <v/>
      </c>
      <c r="D285" s="148" t="str">
        <f t="shared" si="33"/>
        <v/>
      </c>
      <c r="E285" s="149" t="e">
        <f t="shared" si="34"/>
        <v>#VALUE!</v>
      </c>
      <c r="F285" s="148" t="e">
        <f t="shared" si="35"/>
        <v>#VALUE!</v>
      </c>
      <c r="G285" s="148" t="str">
        <f t="shared" si="36"/>
        <v/>
      </c>
      <c r="H285" s="148" t="str">
        <f t="shared" si="39"/>
        <v/>
      </c>
      <c r="I285" s="148" t="e">
        <f t="shared" si="37"/>
        <v>#VALUE!</v>
      </c>
      <c r="J285" s="148">
        <f>SUM($H$18:$H285)</f>
        <v>0</v>
      </c>
    </row>
    <row r="286" spans="1:10" x14ac:dyDescent="0.2">
      <c r="A286" s="151" t="str">
        <f>IF(Values_Entered,A285+1,"")</f>
        <v/>
      </c>
      <c r="B286" s="150" t="str">
        <f t="shared" si="32"/>
        <v/>
      </c>
      <c r="C286" s="148" t="str">
        <f t="shared" si="38"/>
        <v/>
      </c>
      <c r="D286" s="148" t="str">
        <f t="shared" si="33"/>
        <v/>
      </c>
      <c r="E286" s="149" t="e">
        <f t="shared" si="34"/>
        <v>#VALUE!</v>
      </c>
      <c r="F286" s="148" t="e">
        <f t="shared" si="35"/>
        <v>#VALUE!</v>
      </c>
      <c r="G286" s="148" t="str">
        <f t="shared" si="36"/>
        <v/>
      </c>
      <c r="H286" s="148" t="str">
        <f t="shared" si="39"/>
        <v/>
      </c>
      <c r="I286" s="148" t="e">
        <f t="shared" si="37"/>
        <v>#VALUE!</v>
      </c>
      <c r="J286" s="148">
        <f>SUM($H$18:$H286)</f>
        <v>0</v>
      </c>
    </row>
    <row r="287" spans="1:10" x14ac:dyDescent="0.2">
      <c r="A287" s="151" t="str">
        <f>IF(Values_Entered,A286+1,"")</f>
        <v/>
      </c>
      <c r="B287" s="150" t="str">
        <f t="shared" si="32"/>
        <v/>
      </c>
      <c r="C287" s="148" t="str">
        <f t="shared" si="38"/>
        <v/>
      </c>
      <c r="D287" s="148" t="str">
        <f t="shared" si="33"/>
        <v/>
      </c>
      <c r="E287" s="149" t="e">
        <f t="shared" si="34"/>
        <v>#VALUE!</v>
      </c>
      <c r="F287" s="148" t="e">
        <f t="shared" si="35"/>
        <v>#VALUE!</v>
      </c>
      <c r="G287" s="148" t="str">
        <f t="shared" si="36"/>
        <v/>
      </c>
      <c r="H287" s="148" t="str">
        <f t="shared" si="39"/>
        <v/>
      </c>
      <c r="I287" s="148" t="e">
        <f t="shared" si="37"/>
        <v>#VALUE!</v>
      </c>
      <c r="J287" s="148">
        <f>SUM($H$18:$H287)</f>
        <v>0</v>
      </c>
    </row>
    <row r="288" spans="1:10" x14ac:dyDescent="0.2">
      <c r="A288" s="151" t="str">
        <f>IF(Values_Entered,A287+1,"")</f>
        <v/>
      </c>
      <c r="B288" s="150" t="str">
        <f t="shared" si="32"/>
        <v/>
      </c>
      <c r="C288" s="148" t="str">
        <f t="shared" si="38"/>
        <v/>
      </c>
      <c r="D288" s="148" t="str">
        <f t="shared" si="33"/>
        <v/>
      </c>
      <c r="E288" s="149" t="e">
        <f t="shared" si="34"/>
        <v>#VALUE!</v>
      </c>
      <c r="F288" s="148" t="e">
        <f t="shared" si="35"/>
        <v>#VALUE!</v>
      </c>
      <c r="G288" s="148" t="str">
        <f t="shared" si="36"/>
        <v/>
      </c>
      <c r="H288" s="148" t="str">
        <f t="shared" si="39"/>
        <v/>
      </c>
      <c r="I288" s="148" t="e">
        <f t="shared" si="37"/>
        <v>#VALUE!</v>
      </c>
      <c r="J288" s="148">
        <f>SUM($H$18:$H288)</f>
        <v>0</v>
      </c>
    </row>
    <row r="289" spans="1:10" x14ac:dyDescent="0.2">
      <c r="A289" s="151" t="str">
        <f>IF(Values_Entered,A288+1,"")</f>
        <v/>
      </c>
      <c r="B289" s="150" t="str">
        <f t="shared" si="32"/>
        <v/>
      </c>
      <c r="C289" s="148" t="str">
        <f t="shared" si="38"/>
        <v/>
      </c>
      <c r="D289" s="148" t="str">
        <f t="shared" si="33"/>
        <v/>
      </c>
      <c r="E289" s="149" t="e">
        <f t="shared" si="34"/>
        <v>#VALUE!</v>
      </c>
      <c r="F289" s="148" t="e">
        <f t="shared" si="35"/>
        <v>#VALUE!</v>
      </c>
      <c r="G289" s="148" t="str">
        <f t="shared" si="36"/>
        <v/>
      </c>
      <c r="H289" s="148" t="str">
        <f t="shared" si="39"/>
        <v/>
      </c>
      <c r="I289" s="148" t="e">
        <f t="shared" si="37"/>
        <v>#VALUE!</v>
      </c>
      <c r="J289" s="148">
        <f>SUM($H$18:$H289)</f>
        <v>0</v>
      </c>
    </row>
    <row r="290" spans="1:10" x14ac:dyDescent="0.2">
      <c r="A290" s="151" t="str">
        <f>IF(Values_Entered,A289+1,"")</f>
        <v/>
      </c>
      <c r="B290" s="150" t="str">
        <f t="shared" si="32"/>
        <v/>
      </c>
      <c r="C290" s="148" t="str">
        <f t="shared" si="38"/>
        <v/>
      </c>
      <c r="D290" s="148" t="str">
        <f t="shared" si="33"/>
        <v/>
      </c>
      <c r="E290" s="149" t="e">
        <f t="shared" si="34"/>
        <v>#VALUE!</v>
      </c>
      <c r="F290" s="148" t="e">
        <f t="shared" si="35"/>
        <v>#VALUE!</v>
      </c>
      <c r="G290" s="148" t="str">
        <f t="shared" si="36"/>
        <v/>
      </c>
      <c r="H290" s="148" t="str">
        <f t="shared" si="39"/>
        <v/>
      </c>
      <c r="I290" s="148" t="e">
        <f t="shared" si="37"/>
        <v>#VALUE!</v>
      </c>
      <c r="J290" s="148">
        <f>SUM($H$18:$H290)</f>
        <v>0</v>
      </c>
    </row>
    <row r="291" spans="1:10" x14ac:dyDescent="0.2">
      <c r="A291" s="151" t="str">
        <f>IF(Values_Entered,A290+1,"")</f>
        <v/>
      </c>
      <c r="B291" s="150" t="str">
        <f t="shared" si="32"/>
        <v/>
      </c>
      <c r="C291" s="148" t="str">
        <f t="shared" si="38"/>
        <v/>
      </c>
      <c r="D291" s="148" t="str">
        <f t="shared" si="33"/>
        <v/>
      </c>
      <c r="E291" s="149" t="e">
        <f t="shared" si="34"/>
        <v>#VALUE!</v>
      </c>
      <c r="F291" s="148" t="e">
        <f t="shared" si="35"/>
        <v>#VALUE!</v>
      </c>
      <c r="G291" s="148" t="str">
        <f t="shared" si="36"/>
        <v/>
      </c>
      <c r="H291" s="148" t="str">
        <f t="shared" si="39"/>
        <v/>
      </c>
      <c r="I291" s="148" t="e">
        <f t="shared" si="37"/>
        <v>#VALUE!</v>
      </c>
      <c r="J291" s="148">
        <f>SUM($H$18:$H291)</f>
        <v>0</v>
      </c>
    </row>
    <row r="292" spans="1:10" x14ac:dyDescent="0.2">
      <c r="A292" s="151" t="str">
        <f>IF(Values_Entered,A291+1,"")</f>
        <v/>
      </c>
      <c r="B292" s="150" t="str">
        <f t="shared" si="32"/>
        <v/>
      </c>
      <c r="C292" s="148" t="str">
        <f t="shared" si="38"/>
        <v/>
      </c>
      <c r="D292" s="148" t="str">
        <f t="shared" si="33"/>
        <v/>
      </c>
      <c r="E292" s="149" t="e">
        <f t="shared" si="34"/>
        <v>#VALUE!</v>
      </c>
      <c r="F292" s="148" t="e">
        <f t="shared" si="35"/>
        <v>#VALUE!</v>
      </c>
      <c r="G292" s="148" t="str">
        <f t="shared" si="36"/>
        <v/>
      </c>
      <c r="H292" s="148" t="str">
        <f t="shared" si="39"/>
        <v/>
      </c>
      <c r="I292" s="148" t="e">
        <f t="shared" si="37"/>
        <v>#VALUE!</v>
      </c>
      <c r="J292" s="148">
        <f>SUM($H$18:$H292)</f>
        <v>0</v>
      </c>
    </row>
    <row r="293" spans="1:10" x14ac:dyDescent="0.2">
      <c r="A293" s="151" t="str">
        <f>IF(Values_Entered,A292+1,"")</f>
        <v/>
      </c>
      <c r="B293" s="150" t="str">
        <f t="shared" si="32"/>
        <v/>
      </c>
      <c r="C293" s="148" t="str">
        <f t="shared" si="38"/>
        <v/>
      </c>
      <c r="D293" s="148" t="str">
        <f t="shared" si="33"/>
        <v/>
      </c>
      <c r="E293" s="149" t="e">
        <f t="shared" si="34"/>
        <v>#VALUE!</v>
      </c>
      <c r="F293" s="148" t="e">
        <f t="shared" si="35"/>
        <v>#VALUE!</v>
      </c>
      <c r="G293" s="148" t="str">
        <f t="shared" si="36"/>
        <v/>
      </c>
      <c r="H293" s="148" t="str">
        <f t="shared" si="39"/>
        <v/>
      </c>
      <c r="I293" s="148" t="e">
        <f t="shared" si="37"/>
        <v>#VALUE!</v>
      </c>
      <c r="J293" s="148">
        <f>SUM($H$18:$H293)</f>
        <v>0</v>
      </c>
    </row>
    <row r="294" spans="1:10" x14ac:dyDescent="0.2">
      <c r="A294" s="151" t="str">
        <f>IF(Values_Entered,A293+1,"")</f>
        <v/>
      </c>
      <c r="B294" s="150" t="str">
        <f t="shared" si="32"/>
        <v/>
      </c>
      <c r="C294" s="148" t="str">
        <f t="shared" si="38"/>
        <v/>
      </c>
      <c r="D294" s="148" t="str">
        <f t="shared" si="33"/>
        <v/>
      </c>
      <c r="E294" s="149" t="e">
        <f t="shared" si="34"/>
        <v>#VALUE!</v>
      </c>
      <c r="F294" s="148" t="e">
        <f t="shared" si="35"/>
        <v>#VALUE!</v>
      </c>
      <c r="G294" s="148" t="str">
        <f t="shared" si="36"/>
        <v/>
      </c>
      <c r="H294" s="148" t="str">
        <f t="shared" si="39"/>
        <v/>
      </c>
      <c r="I294" s="148" t="e">
        <f t="shared" si="37"/>
        <v>#VALUE!</v>
      </c>
      <c r="J294" s="148">
        <f>SUM($H$18:$H294)</f>
        <v>0</v>
      </c>
    </row>
    <row r="295" spans="1:10" x14ac:dyDescent="0.2">
      <c r="A295" s="151" t="str">
        <f>IF(Values_Entered,A294+1,"")</f>
        <v/>
      </c>
      <c r="B295" s="150" t="str">
        <f t="shared" si="32"/>
        <v/>
      </c>
      <c r="C295" s="148" t="str">
        <f t="shared" si="38"/>
        <v/>
      </c>
      <c r="D295" s="148" t="str">
        <f t="shared" si="33"/>
        <v/>
      </c>
      <c r="E295" s="149" t="e">
        <f t="shared" si="34"/>
        <v>#VALUE!</v>
      </c>
      <c r="F295" s="148" t="e">
        <f t="shared" si="35"/>
        <v>#VALUE!</v>
      </c>
      <c r="G295" s="148" t="str">
        <f t="shared" si="36"/>
        <v/>
      </c>
      <c r="H295" s="148" t="str">
        <f t="shared" si="39"/>
        <v/>
      </c>
      <c r="I295" s="148" t="e">
        <f t="shared" si="37"/>
        <v>#VALUE!</v>
      </c>
      <c r="J295" s="148">
        <f>SUM($H$18:$H295)</f>
        <v>0</v>
      </c>
    </row>
    <row r="296" spans="1:10" x14ac:dyDescent="0.2">
      <c r="A296" s="151" t="str">
        <f>IF(Values_Entered,A295+1,"")</f>
        <v/>
      </c>
      <c r="B296" s="150" t="str">
        <f t="shared" si="32"/>
        <v/>
      </c>
      <c r="C296" s="148" t="str">
        <f t="shared" si="38"/>
        <v/>
      </c>
      <c r="D296" s="148" t="str">
        <f t="shared" si="33"/>
        <v/>
      </c>
      <c r="E296" s="149" t="e">
        <f t="shared" si="34"/>
        <v>#VALUE!</v>
      </c>
      <c r="F296" s="148" t="e">
        <f t="shared" si="35"/>
        <v>#VALUE!</v>
      </c>
      <c r="G296" s="148" t="str">
        <f t="shared" si="36"/>
        <v/>
      </c>
      <c r="H296" s="148" t="str">
        <f t="shared" si="39"/>
        <v/>
      </c>
      <c r="I296" s="148" t="e">
        <f t="shared" si="37"/>
        <v>#VALUE!</v>
      </c>
      <c r="J296" s="148">
        <f>SUM($H$18:$H296)</f>
        <v>0</v>
      </c>
    </row>
    <row r="297" spans="1:10" x14ac:dyDescent="0.2">
      <c r="A297" s="151" t="str">
        <f>IF(Values_Entered,A296+1,"")</f>
        <v/>
      </c>
      <c r="B297" s="150" t="str">
        <f t="shared" si="32"/>
        <v/>
      </c>
      <c r="C297" s="148" t="str">
        <f t="shared" si="38"/>
        <v/>
      </c>
      <c r="D297" s="148" t="str">
        <f t="shared" si="33"/>
        <v/>
      </c>
      <c r="E297" s="149" t="e">
        <f t="shared" si="34"/>
        <v>#VALUE!</v>
      </c>
      <c r="F297" s="148" t="e">
        <f t="shared" si="35"/>
        <v>#VALUE!</v>
      </c>
      <c r="G297" s="148" t="str">
        <f t="shared" si="36"/>
        <v/>
      </c>
      <c r="H297" s="148" t="str">
        <f t="shared" si="39"/>
        <v/>
      </c>
      <c r="I297" s="148" t="e">
        <f t="shared" si="37"/>
        <v>#VALUE!</v>
      </c>
      <c r="J297" s="148">
        <f>SUM($H$18:$H297)</f>
        <v>0</v>
      </c>
    </row>
    <row r="298" spans="1:10" x14ac:dyDescent="0.2">
      <c r="A298" s="151" t="str">
        <f>IF(Values_Entered,A297+1,"")</f>
        <v/>
      </c>
      <c r="B298" s="150" t="str">
        <f t="shared" si="32"/>
        <v/>
      </c>
      <c r="C298" s="148" t="str">
        <f t="shared" si="38"/>
        <v/>
      </c>
      <c r="D298" s="148" t="str">
        <f t="shared" si="33"/>
        <v/>
      </c>
      <c r="E298" s="149" t="e">
        <f t="shared" si="34"/>
        <v>#VALUE!</v>
      </c>
      <c r="F298" s="148" t="e">
        <f t="shared" si="35"/>
        <v>#VALUE!</v>
      </c>
      <c r="G298" s="148" t="str">
        <f t="shared" si="36"/>
        <v/>
      </c>
      <c r="H298" s="148" t="str">
        <f t="shared" si="39"/>
        <v/>
      </c>
      <c r="I298" s="148" t="e">
        <f t="shared" si="37"/>
        <v>#VALUE!</v>
      </c>
      <c r="J298" s="148">
        <f>SUM($H$18:$H298)</f>
        <v>0</v>
      </c>
    </row>
    <row r="299" spans="1:10" x14ac:dyDescent="0.2">
      <c r="A299" s="151" t="str">
        <f>IF(Values_Entered,A298+1,"")</f>
        <v/>
      </c>
      <c r="B299" s="150" t="str">
        <f t="shared" si="32"/>
        <v/>
      </c>
      <c r="C299" s="148" t="str">
        <f t="shared" si="38"/>
        <v/>
      </c>
      <c r="D299" s="148" t="str">
        <f t="shared" si="33"/>
        <v/>
      </c>
      <c r="E299" s="149" t="e">
        <f t="shared" si="34"/>
        <v>#VALUE!</v>
      </c>
      <c r="F299" s="148" t="e">
        <f t="shared" si="35"/>
        <v>#VALUE!</v>
      </c>
      <c r="G299" s="148" t="str">
        <f t="shared" si="36"/>
        <v/>
      </c>
      <c r="H299" s="148" t="str">
        <f t="shared" si="39"/>
        <v/>
      </c>
      <c r="I299" s="148" t="e">
        <f t="shared" si="37"/>
        <v>#VALUE!</v>
      </c>
      <c r="J299" s="148">
        <f>SUM($H$18:$H299)</f>
        <v>0</v>
      </c>
    </row>
    <row r="300" spans="1:10" x14ac:dyDescent="0.2">
      <c r="A300" s="151" t="str">
        <f>IF(Values_Entered,A299+1,"")</f>
        <v/>
      </c>
      <c r="B300" s="150" t="str">
        <f t="shared" si="32"/>
        <v/>
      </c>
      <c r="C300" s="148" t="str">
        <f t="shared" si="38"/>
        <v/>
      </c>
      <c r="D300" s="148" t="str">
        <f t="shared" si="33"/>
        <v/>
      </c>
      <c r="E300" s="149" t="e">
        <f t="shared" si="34"/>
        <v>#VALUE!</v>
      </c>
      <c r="F300" s="148" t="e">
        <f t="shared" si="35"/>
        <v>#VALUE!</v>
      </c>
      <c r="G300" s="148" t="str">
        <f t="shared" si="36"/>
        <v/>
      </c>
      <c r="H300" s="148" t="str">
        <f t="shared" si="39"/>
        <v/>
      </c>
      <c r="I300" s="148" t="e">
        <f t="shared" si="37"/>
        <v>#VALUE!</v>
      </c>
      <c r="J300" s="148">
        <f>SUM($H$18:$H300)</f>
        <v>0</v>
      </c>
    </row>
    <row r="301" spans="1:10" x14ac:dyDescent="0.2">
      <c r="A301" s="151" t="str">
        <f>IF(Values_Entered,A300+1,"")</f>
        <v/>
      </c>
      <c r="B301" s="150" t="str">
        <f t="shared" si="32"/>
        <v/>
      </c>
      <c r="C301" s="148" t="str">
        <f t="shared" si="38"/>
        <v/>
      </c>
      <c r="D301" s="148" t="str">
        <f t="shared" si="33"/>
        <v/>
      </c>
      <c r="E301" s="149" t="e">
        <f t="shared" si="34"/>
        <v>#VALUE!</v>
      </c>
      <c r="F301" s="148" t="e">
        <f t="shared" si="35"/>
        <v>#VALUE!</v>
      </c>
      <c r="G301" s="148" t="str">
        <f t="shared" si="36"/>
        <v/>
      </c>
      <c r="H301" s="148" t="str">
        <f t="shared" si="39"/>
        <v/>
      </c>
      <c r="I301" s="148" t="e">
        <f t="shared" si="37"/>
        <v>#VALUE!</v>
      </c>
      <c r="J301" s="148">
        <f>SUM($H$18:$H301)</f>
        <v>0</v>
      </c>
    </row>
    <row r="302" spans="1:10" x14ac:dyDescent="0.2">
      <c r="A302" s="151" t="str">
        <f>IF(Values_Entered,A301+1,"")</f>
        <v/>
      </c>
      <c r="B302" s="150" t="str">
        <f t="shared" si="32"/>
        <v/>
      </c>
      <c r="C302" s="148" t="str">
        <f t="shared" si="38"/>
        <v/>
      </c>
      <c r="D302" s="148" t="str">
        <f t="shared" si="33"/>
        <v/>
      </c>
      <c r="E302" s="149" t="e">
        <f t="shared" si="34"/>
        <v>#VALUE!</v>
      </c>
      <c r="F302" s="148" t="e">
        <f t="shared" si="35"/>
        <v>#VALUE!</v>
      </c>
      <c r="G302" s="148" t="str">
        <f t="shared" si="36"/>
        <v/>
      </c>
      <c r="H302" s="148" t="str">
        <f t="shared" si="39"/>
        <v/>
      </c>
      <c r="I302" s="148" t="e">
        <f t="shared" si="37"/>
        <v>#VALUE!</v>
      </c>
      <c r="J302" s="148">
        <f>SUM($H$18:$H302)</f>
        <v>0</v>
      </c>
    </row>
    <row r="303" spans="1:10" x14ac:dyDescent="0.2">
      <c r="A303" s="151" t="str">
        <f>IF(Values_Entered,A302+1,"")</f>
        <v/>
      </c>
      <c r="B303" s="150" t="str">
        <f t="shared" si="32"/>
        <v/>
      </c>
      <c r="C303" s="148" t="str">
        <f t="shared" si="38"/>
        <v/>
      </c>
      <c r="D303" s="148" t="str">
        <f t="shared" si="33"/>
        <v/>
      </c>
      <c r="E303" s="149" t="e">
        <f t="shared" si="34"/>
        <v>#VALUE!</v>
      </c>
      <c r="F303" s="148" t="e">
        <f t="shared" si="35"/>
        <v>#VALUE!</v>
      </c>
      <c r="G303" s="148" t="str">
        <f t="shared" si="36"/>
        <v/>
      </c>
      <c r="H303" s="148" t="str">
        <f t="shared" si="39"/>
        <v/>
      </c>
      <c r="I303" s="148" t="e">
        <f t="shared" si="37"/>
        <v>#VALUE!</v>
      </c>
      <c r="J303" s="148">
        <f>SUM($H$18:$H303)</f>
        <v>0</v>
      </c>
    </row>
    <row r="304" spans="1:10" x14ac:dyDescent="0.2">
      <c r="A304" s="151" t="str">
        <f>IF(Values_Entered,A303+1,"")</f>
        <v/>
      </c>
      <c r="B304" s="150" t="str">
        <f t="shared" si="32"/>
        <v/>
      </c>
      <c r="C304" s="148" t="str">
        <f t="shared" si="38"/>
        <v/>
      </c>
      <c r="D304" s="148" t="str">
        <f t="shared" si="33"/>
        <v/>
      </c>
      <c r="E304" s="149" t="e">
        <f t="shared" si="34"/>
        <v>#VALUE!</v>
      </c>
      <c r="F304" s="148" t="e">
        <f t="shared" si="35"/>
        <v>#VALUE!</v>
      </c>
      <c r="G304" s="148" t="str">
        <f t="shared" si="36"/>
        <v/>
      </c>
      <c r="H304" s="148" t="str">
        <f t="shared" si="39"/>
        <v/>
      </c>
      <c r="I304" s="148" t="e">
        <f t="shared" si="37"/>
        <v>#VALUE!</v>
      </c>
      <c r="J304" s="148">
        <f>SUM($H$18:$H304)</f>
        <v>0</v>
      </c>
    </row>
    <row r="305" spans="1:10" x14ac:dyDescent="0.2">
      <c r="A305" s="151" t="str">
        <f>IF(Values_Entered,A304+1,"")</f>
        <v/>
      </c>
      <c r="B305" s="150" t="str">
        <f t="shared" si="32"/>
        <v/>
      </c>
      <c r="C305" s="148" t="str">
        <f t="shared" si="38"/>
        <v/>
      </c>
      <c r="D305" s="148" t="str">
        <f t="shared" si="33"/>
        <v/>
      </c>
      <c r="E305" s="149" t="e">
        <f t="shared" si="34"/>
        <v>#VALUE!</v>
      </c>
      <c r="F305" s="148" t="e">
        <f t="shared" si="35"/>
        <v>#VALUE!</v>
      </c>
      <c r="G305" s="148" t="str">
        <f t="shared" si="36"/>
        <v/>
      </c>
      <c r="H305" s="148" t="str">
        <f t="shared" si="39"/>
        <v/>
      </c>
      <c r="I305" s="148" t="e">
        <f t="shared" si="37"/>
        <v>#VALUE!</v>
      </c>
      <c r="J305" s="148">
        <f>SUM($H$18:$H305)</f>
        <v>0</v>
      </c>
    </row>
    <row r="306" spans="1:10" x14ac:dyDescent="0.2">
      <c r="A306" s="151" t="str">
        <f>IF(Values_Entered,A305+1,"")</f>
        <v/>
      </c>
      <c r="B306" s="150" t="str">
        <f t="shared" si="32"/>
        <v/>
      </c>
      <c r="C306" s="148" t="str">
        <f t="shared" si="38"/>
        <v/>
      </c>
      <c r="D306" s="148" t="str">
        <f t="shared" si="33"/>
        <v/>
      </c>
      <c r="E306" s="149" t="e">
        <f t="shared" si="34"/>
        <v>#VALUE!</v>
      </c>
      <c r="F306" s="148" t="e">
        <f t="shared" si="35"/>
        <v>#VALUE!</v>
      </c>
      <c r="G306" s="148" t="str">
        <f t="shared" si="36"/>
        <v/>
      </c>
      <c r="H306" s="148" t="str">
        <f t="shared" si="39"/>
        <v/>
      </c>
      <c r="I306" s="148" t="e">
        <f t="shared" si="37"/>
        <v>#VALUE!</v>
      </c>
      <c r="J306" s="148">
        <f>SUM($H$18:$H306)</f>
        <v>0</v>
      </c>
    </row>
    <row r="307" spans="1:10" x14ac:dyDescent="0.2">
      <c r="A307" s="151" t="str">
        <f>IF(Values_Entered,A306+1,"")</f>
        <v/>
      </c>
      <c r="B307" s="150" t="str">
        <f t="shared" si="32"/>
        <v/>
      </c>
      <c r="C307" s="148" t="str">
        <f t="shared" si="38"/>
        <v/>
      </c>
      <c r="D307" s="148" t="str">
        <f t="shared" si="33"/>
        <v/>
      </c>
      <c r="E307" s="149" t="e">
        <f t="shared" si="34"/>
        <v>#VALUE!</v>
      </c>
      <c r="F307" s="148" t="e">
        <f t="shared" si="35"/>
        <v>#VALUE!</v>
      </c>
      <c r="G307" s="148" t="str">
        <f t="shared" si="36"/>
        <v/>
      </c>
      <c r="H307" s="148" t="str">
        <f t="shared" si="39"/>
        <v/>
      </c>
      <c r="I307" s="148" t="e">
        <f t="shared" si="37"/>
        <v>#VALUE!</v>
      </c>
      <c r="J307" s="148">
        <f>SUM($H$18:$H307)</f>
        <v>0</v>
      </c>
    </row>
    <row r="308" spans="1:10" x14ac:dyDescent="0.2">
      <c r="A308" s="151" t="str">
        <f>IF(Values_Entered,A307+1,"")</f>
        <v/>
      </c>
      <c r="B308" s="150" t="str">
        <f t="shared" si="32"/>
        <v/>
      </c>
      <c r="C308" s="148" t="str">
        <f t="shared" si="38"/>
        <v/>
      </c>
      <c r="D308" s="148" t="str">
        <f t="shared" si="33"/>
        <v/>
      </c>
      <c r="E308" s="149" t="e">
        <f t="shared" si="34"/>
        <v>#VALUE!</v>
      </c>
      <c r="F308" s="148" t="e">
        <f t="shared" si="35"/>
        <v>#VALUE!</v>
      </c>
      <c r="G308" s="148" t="str">
        <f t="shared" si="36"/>
        <v/>
      </c>
      <c r="H308" s="148" t="str">
        <f t="shared" si="39"/>
        <v/>
      </c>
      <c r="I308" s="148" t="e">
        <f t="shared" si="37"/>
        <v>#VALUE!</v>
      </c>
      <c r="J308" s="148">
        <f>SUM($H$18:$H308)</f>
        <v>0</v>
      </c>
    </row>
    <row r="309" spans="1:10" x14ac:dyDescent="0.2">
      <c r="A309" s="151" t="str">
        <f>IF(Values_Entered,A308+1,"")</f>
        <v/>
      </c>
      <c r="B309" s="150" t="str">
        <f t="shared" si="32"/>
        <v/>
      </c>
      <c r="C309" s="148" t="str">
        <f t="shared" si="38"/>
        <v/>
      </c>
      <c r="D309" s="148" t="str">
        <f t="shared" si="33"/>
        <v/>
      </c>
      <c r="E309" s="149" t="e">
        <f t="shared" si="34"/>
        <v>#VALUE!</v>
      </c>
      <c r="F309" s="148" t="e">
        <f t="shared" si="35"/>
        <v>#VALUE!</v>
      </c>
      <c r="G309" s="148" t="str">
        <f t="shared" si="36"/>
        <v/>
      </c>
      <c r="H309" s="148" t="str">
        <f t="shared" si="39"/>
        <v/>
      </c>
      <c r="I309" s="148" t="e">
        <f t="shared" si="37"/>
        <v>#VALUE!</v>
      </c>
      <c r="J309" s="148">
        <f>SUM($H$18:$H309)</f>
        <v>0</v>
      </c>
    </row>
    <row r="310" spans="1:10" x14ac:dyDescent="0.2">
      <c r="A310" s="151" t="str">
        <f>IF(Values_Entered,A309+1,"")</f>
        <v/>
      </c>
      <c r="B310" s="150" t="str">
        <f t="shared" si="32"/>
        <v/>
      </c>
      <c r="C310" s="148" t="str">
        <f t="shared" si="38"/>
        <v/>
      </c>
      <c r="D310" s="148" t="str">
        <f t="shared" si="33"/>
        <v/>
      </c>
      <c r="E310" s="149" t="e">
        <f t="shared" si="34"/>
        <v>#VALUE!</v>
      </c>
      <c r="F310" s="148" t="e">
        <f t="shared" si="35"/>
        <v>#VALUE!</v>
      </c>
      <c r="G310" s="148" t="str">
        <f t="shared" si="36"/>
        <v/>
      </c>
      <c r="H310" s="148" t="str">
        <f t="shared" si="39"/>
        <v/>
      </c>
      <c r="I310" s="148" t="e">
        <f t="shared" si="37"/>
        <v>#VALUE!</v>
      </c>
      <c r="J310" s="148">
        <f>SUM($H$18:$H310)</f>
        <v>0</v>
      </c>
    </row>
    <row r="311" spans="1:10" x14ac:dyDescent="0.2">
      <c r="A311" s="151" t="str">
        <f>IF(Values_Entered,A310+1,"")</f>
        <v/>
      </c>
      <c r="B311" s="150" t="str">
        <f t="shared" si="32"/>
        <v/>
      </c>
      <c r="C311" s="148" t="str">
        <f t="shared" si="38"/>
        <v/>
      </c>
      <c r="D311" s="148" t="str">
        <f t="shared" si="33"/>
        <v/>
      </c>
      <c r="E311" s="149" t="e">
        <f t="shared" si="34"/>
        <v>#VALUE!</v>
      </c>
      <c r="F311" s="148" t="e">
        <f t="shared" si="35"/>
        <v>#VALUE!</v>
      </c>
      <c r="G311" s="148" t="str">
        <f t="shared" si="36"/>
        <v/>
      </c>
      <c r="H311" s="148" t="str">
        <f t="shared" si="39"/>
        <v/>
      </c>
      <c r="I311" s="148" t="e">
        <f t="shared" si="37"/>
        <v>#VALUE!</v>
      </c>
      <c r="J311" s="148">
        <f>SUM($H$18:$H311)</f>
        <v>0</v>
      </c>
    </row>
    <row r="312" spans="1:10" x14ac:dyDescent="0.2">
      <c r="A312" s="151" t="str">
        <f>IF(Values_Entered,A311+1,"")</f>
        <v/>
      </c>
      <c r="B312" s="150" t="str">
        <f t="shared" si="32"/>
        <v/>
      </c>
      <c r="C312" s="148" t="str">
        <f t="shared" si="38"/>
        <v/>
      </c>
      <c r="D312" s="148" t="str">
        <f t="shared" si="33"/>
        <v/>
      </c>
      <c r="E312" s="149" t="e">
        <f t="shared" si="34"/>
        <v>#VALUE!</v>
      </c>
      <c r="F312" s="148" t="e">
        <f t="shared" si="35"/>
        <v>#VALUE!</v>
      </c>
      <c r="G312" s="148" t="str">
        <f t="shared" si="36"/>
        <v/>
      </c>
      <c r="H312" s="148" t="str">
        <f t="shared" si="39"/>
        <v/>
      </c>
      <c r="I312" s="148" t="e">
        <f t="shared" si="37"/>
        <v>#VALUE!</v>
      </c>
      <c r="J312" s="148">
        <f>SUM($H$18:$H312)</f>
        <v>0</v>
      </c>
    </row>
    <row r="313" spans="1:10" x14ac:dyDescent="0.2">
      <c r="A313" s="151" t="str">
        <f>IF(Values_Entered,A312+1,"")</f>
        <v/>
      </c>
      <c r="B313" s="150" t="str">
        <f t="shared" si="32"/>
        <v/>
      </c>
      <c r="C313" s="148" t="str">
        <f t="shared" si="38"/>
        <v/>
      </c>
      <c r="D313" s="148" t="str">
        <f t="shared" si="33"/>
        <v/>
      </c>
      <c r="E313" s="149" t="e">
        <f t="shared" si="34"/>
        <v>#VALUE!</v>
      </c>
      <c r="F313" s="148" t="e">
        <f t="shared" si="35"/>
        <v>#VALUE!</v>
      </c>
      <c r="G313" s="148" t="str">
        <f t="shared" si="36"/>
        <v/>
      </c>
      <c r="H313" s="148" t="str">
        <f t="shared" si="39"/>
        <v/>
      </c>
      <c r="I313" s="148" t="e">
        <f t="shared" si="37"/>
        <v>#VALUE!</v>
      </c>
      <c r="J313" s="148">
        <f>SUM($H$18:$H313)</f>
        <v>0</v>
      </c>
    </row>
    <row r="314" spans="1:10" x14ac:dyDescent="0.2">
      <c r="A314" s="151" t="str">
        <f>IF(Values_Entered,A313+1,"")</f>
        <v/>
      </c>
      <c r="B314" s="150" t="str">
        <f t="shared" si="32"/>
        <v/>
      </c>
      <c r="C314" s="148" t="str">
        <f t="shared" si="38"/>
        <v/>
      </c>
      <c r="D314" s="148" t="str">
        <f t="shared" si="33"/>
        <v/>
      </c>
      <c r="E314" s="149" t="e">
        <f t="shared" si="34"/>
        <v>#VALUE!</v>
      </c>
      <c r="F314" s="148" t="e">
        <f t="shared" si="35"/>
        <v>#VALUE!</v>
      </c>
      <c r="G314" s="148" t="str">
        <f t="shared" si="36"/>
        <v/>
      </c>
      <c r="H314" s="148" t="str">
        <f t="shared" si="39"/>
        <v/>
      </c>
      <c r="I314" s="148" t="e">
        <f t="shared" si="37"/>
        <v>#VALUE!</v>
      </c>
      <c r="J314" s="148">
        <f>SUM($H$18:$H314)</f>
        <v>0</v>
      </c>
    </row>
    <row r="315" spans="1:10" x14ac:dyDescent="0.2">
      <c r="A315" s="151" t="str">
        <f>IF(Values_Entered,A314+1,"")</f>
        <v/>
      </c>
      <c r="B315" s="150" t="str">
        <f t="shared" si="32"/>
        <v/>
      </c>
      <c r="C315" s="148" t="str">
        <f t="shared" si="38"/>
        <v/>
      </c>
      <c r="D315" s="148" t="str">
        <f t="shared" si="33"/>
        <v/>
      </c>
      <c r="E315" s="149" t="e">
        <f t="shared" si="34"/>
        <v>#VALUE!</v>
      </c>
      <c r="F315" s="148" t="e">
        <f t="shared" si="35"/>
        <v>#VALUE!</v>
      </c>
      <c r="G315" s="148" t="str">
        <f t="shared" si="36"/>
        <v/>
      </c>
      <c r="H315" s="148" t="str">
        <f t="shared" si="39"/>
        <v/>
      </c>
      <c r="I315" s="148" t="e">
        <f t="shared" si="37"/>
        <v>#VALUE!</v>
      </c>
      <c r="J315" s="148">
        <f>SUM($H$18:$H315)</f>
        <v>0</v>
      </c>
    </row>
    <row r="316" spans="1:10" x14ac:dyDescent="0.2">
      <c r="A316" s="151" t="str">
        <f>IF(Values_Entered,A315+1,"")</f>
        <v/>
      </c>
      <c r="B316" s="150" t="str">
        <f t="shared" si="32"/>
        <v/>
      </c>
      <c r="C316" s="148" t="str">
        <f t="shared" si="38"/>
        <v/>
      </c>
      <c r="D316" s="148" t="str">
        <f t="shared" si="33"/>
        <v/>
      </c>
      <c r="E316" s="149" t="e">
        <f t="shared" si="34"/>
        <v>#VALUE!</v>
      </c>
      <c r="F316" s="148" t="e">
        <f t="shared" si="35"/>
        <v>#VALUE!</v>
      </c>
      <c r="G316" s="148" t="str">
        <f t="shared" si="36"/>
        <v/>
      </c>
      <c r="H316" s="148" t="str">
        <f t="shared" si="39"/>
        <v/>
      </c>
      <c r="I316" s="148" t="e">
        <f t="shared" si="37"/>
        <v>#VALUE!</v>
      </c>
      <c r="J316" s="148">
        <f>SUM($H$18:$H316)</f>
        <v>0</v>
      </c>
    </row>
    <row r="317" spans="1:10" x14ac:dyDescent="0.2">
      <c r="A317" s="151" t="str">
        <f>IF(Values_Entered,A316+1,"")</f>
        <v/>
      </c>
      <c r="B317" s="150" t="str">
        <f t="shared" si="32"/>
        <v/>
      </c>
      <c r="C317" s="148" t="str">
        <f t="shared" si="38"/>
        <v/>
      </c>
      <c r="D317" s="148" t="str">
        <f t="shared" si="33"/>
        <v/>
      </c>
      <c r="E317" s="149" t="e">
        <f t="shared" si="34"/>
        <v>#VALUE!</v>
      </c>
      <c r="F317" s="148" t="e">
        <f t="shared" si="35"/>
        <v>#VALUE!</v>
      </c>
      <c r="G317" s="148" t="str">
        <f t="shared" si="36"/>
        <v/>
      </c>
      <c r="H317" s="148" t="str">
        <f t="shared" si="39"/>
        <v/>
      </c>
      <c r="I317" s="148" t="e">
        <f t="shared" si="37"/>
        <v>#VALUE!</v>
      </c>
      <c r="J317" s="148">
        <f>SUM($H$18:$H317)</f>
        <v>0</v>
      </c>
    </row>
    <row r="318" spans="1:10" x14ac:dyDescent="0.2">
      <c r="A318" s="151" t="str">
        <f>IF(Values_Entered,A317+1,"")</f>
        <v/>
      </c>
      <c r="B318" s="150" t="str">
        <f t="shared" si="32"/>
        <v/>
      </c>
      <c r="C318" s="148" t="str">
        <f t="shared" si="38"/>
        <v/>
      </c>
      <c r="D318" s="148" t="str">
        <f t="shared" si="33"/>
        <v/>
      </c>
      <c r="E318" s="149" t="e">
        <f t="shared" si="34"/>
        <v>#VALUE!</v>
      </c>
      <c r="F318" s="148" t="e">
        <f t="shared" si="35"/>
        <v>#VALUE!</v>
      </c>
      <c r="G318" s="148" t="str">
        <f t="shared" si="36"/>
        <v/>
      </c>
      <c r="H318" s="148" t="str">
        <f t="shared" si="39"/>
        <v/>
      </c>
      <c r="I318" s="148" t="e">
        <f t="shared" si="37"/>
        <v>#VALUE!</v>
      </c>
      <c r="J318" s="148">
        <f>SUM($H$18:$H318)</f>
        <v>0</v>
      </c>
    </row>
    <row r="319" spans="1:10" x14ac:dyDescent="0.2">
      <c r="A319" s="151" t="str">
        <f>IF(Values_Entered,A318+1,"")</f>
        <v/>
      </c>
      <c r="B319" s="150" t="str">
        <f t="shared" si="32"/>
        <v/>
      </c>
      <c r="C319" s="148" t="str">
        <f t="shared" si="38"/>
        <v/>
      </c>
      <c r="D319" s="148" t="str">
        <f t="shared" si="33"/>
        <v/>
      </c>
      <c r="E319" s="149" t="e">
        <f t="shared" si="34"/>
        <v>#VALUE!</v>
      </c>
      <c r="F319" s="148" t="e">
        <f t="shared" si="35"/>
        <v>#VALUE!</v>
      </c>
      <c r="G319" s="148" t="str">
        <f t="shared" si="36"/>
        <v/>
      </c>
      <c r="H319" s="148" t="str">
        <f t="shared" si="39"/>
        <v/>
      </c>
      <c r="I319" s="148" t="e">
        <f t="shared" si="37"/>
        <v>#VALUE!</v>
      </c>
      <c r="J319" s="148">
        <f>SUM($H$18:$H319)</f>
        <v>0</v>
      </c>
    </row>
    <row r="320" spans="1:10" x14ac:dyDescent="0.2">
      <c r="A320" s="151" t="str">
        <f>IF(Values_Entered,A319+1,"")</f>
        <v/>
      </c>
      <c r="B320" s="150" t="str">
        <f t="shared" si="32"/>
        <v/>
      </c>
      <c r="C320" s="148" t="str">
        <f t="shared" si="38"/>
        <v/>
      </c>
      <c r="D320" s="148" t="str">
        <f t="shared" si="33"/>
        <v/>
      </c>
      <c r="E320" s="149" t="e">
        <f t="shared" si="34"/>
        <v>#VALUE!</v>
      </c>
      <c r="F320" s="148" t="e">
        <f t="shared" si="35"/>
        <v>#VALUE!</v>
      </c>
      <c r="G320" s="148" t="str">
        <f t="shared" si="36"/>
        <v/>
      </c>
      <c r="H320" s="148" t="str">
        <f t="shared" si="39"/>
        <v/>
      </c>
      <c r="I320" s="148" t="e">
        <f t="shared" si="37"/>
        <v>#VALUE!</v>
      </c>
      <c r="J320" s="148">
        <f>SUM($H$18:$H320)</f>
        <v>0</v>
      </c>
    </row>
    <row r="321" spans="1:10" x14ac:dyDescent="0.2">
      <c r="A321" s="151" t="str">
        <f>IF(Values_Entered,A320+1,"")</f>
        <v/>
      </c>
      <c r="B321" s="150" t="str">
        <f t="shared" si="32"/>
        <v/>
      </c>
      <c r="C321" s="148" t="str">
        <f t="shared" si="38"/>
        <v/>
      </c>
      <c r="D321" s="148" t="str">
        <f t="shared" si="33"/>
        <v/>
      </c>
      <c r="E321" s="149" t="e">
        <f t="shared" si="34"/>
        <v>#VALUE!</v>
      </c>
      <c r="F321" s="148" t="e">
        <f t="shared" si="35"/>
        <v>#VALUE!</v>
      </c>
      <c r="G321" s="148" t="str">
        <f t="shared" si="36"/>
        <v/>
      </c>
      <c r="H321" s="148" t="str">
        <f t="shared" si="39"/>
        <v/>
      </c>
      <c r="I321" s="148" t="e">
        <f t="shared" si="37"/>
        <v>#VALUE!</v>
      </c>
      <c r="J321" s="148">
        <f>SUM($H$18:$H321)</f>
        <v>0</v>
      </c>
    </row>
    <row r="322" spans="1:10" x14ac:dyDescent="0.2">
      <c r="A322" s="151" t="str">
        <f>IF(Values_Entered,A321+1,"")</f>
        <v/>
      </c>
      <c r="B322" s="150" t="str">
        <f t="shared" si="32"/>
        <v/>
      </c>
      <c r="C322" s="148" t="str">
        <f t="shared" si="38"/>
        <v/>
      </c>
      <c r="D322" s="148" t="str">
        <f t="shared" si="33"/>
        <v/>
      </c>
      <c r="E322" s="149" t="e">
        <f t="shared" si="34"/>
        <v>#VALUE!</v>
      </c>
      <c r="F322" s="148" t="e">
        <f t="shared" si="35"/>
        <v>#VALUE!</v>
      </c>
      <c r="G322" s="148" t="str">
        <f t="shared" si="36"/>
        <v/>
      </c>
      <c r="H322" s="148" t="str">
        <f t="shared" si="39"/>
        <v/>
      </c>
      <c r="I322" s="148" t="e">
        <f t="shared" si="37"/>
        <v>#VALUE!</v>
      </c>
      <c r="J322" s="148">
        <f>SUM($H$18:$H322)</f>
        <v>0</v>
      </c>
    </row>
    <row r="323" spans="1:10" x14ac:dyDescent="0.2">
      <c r="A323" s="151" t="str">
        <f>IF(Values_Entered,A322+1,"")</f>
        <v/>
      </c>
      <c r="B323" s="150" t="str">
        <f t="shared" si="32"/>
        <v/>
      </c>
      <c r="C323" s="148" t="str">
        <f t="shared" si="38"/>
        <v/>
      </c>
      <c r="D323" s="148" t="str">
        <f t="shared" si="33"/>
        <v/>
      </c>
      <c r="E323" s="149" t="e">
        <f t="shared" si="34"/>
        <v>#VALUE!</v>
      </c>
      <c r="F323" s="148" t="e">
        <f t="shared" si="35"/>
        <v>#VALUE!</v>
      </c>
      <c r="G323" s="148" t="str">
        <f t="shared" si="36"/>
        <v/>
      </c>
      <c r="H323" s="148" t="str">
        <f t="shared" si="39"/>
        <v/>
      </c>
      <c r="I323" s="148" t="e">
        <f t="shared" si="37"/>
        <v>#VALUE!</v>
      </c>
      <c r="J323" s="148">
        <f>SUM($H$18:$H323)</f>
        <v>0</v>
      </c>
    </row>
    <row r="324" spans="1:10" x14ac:dyDescent="0.2">
      <c r="A324" s="151" t="str">
        <f>IF(Values_Entered,A323+1,"")</f>
        <v/>
      </c>
      <c r="B324" s="150" t="str">
        <f t="shared" si="32"/>
        <v/>
      </c>
      <c r="C324" s="148" t="str">
        <f t="shared" si="38"/>
        <v/>
      </c>
      <c r="D324" s="148" t="str">
        <f t="shared" si="33"/>
        <v/>
      </c>
      <c r="E324" s="149" t="e">
        <f t="shared" si="34"/>
        <v>#VALUE!</v>
      </c>
      <c r="F324" s="148" t="e">
        <f t="shared" si="35"/>
        <v>#VALUE!</v>
      </c>
      <c r="G324" s="148" t="str">
        <f t="shared" si="36"/>
        <v/>
      </c>
      <c r="H324" s="148" t="str">
        <f t="shared" si="39"/>
        <v/>
      </c>
      <c r="I324" s="148" t="e">
        <f t="shared" si="37"/>
        <v>#VALUE!</v>
      </c>
      <c r="J324" s="148">
        <f>SUM($H$18:$H324)</f>
        <v>0</v>
      </c>
    </row>
    <row r="325" spans="1:10" x14ac:dyDescent="0.2">
      <c r="A325" s="151" t="str">
        <f>IF(Values_Entered,A324+1,"")</f>
        <v/>
      </c>
      <c r="B325" s="150" t="str">
        <f t="shared" si="32"/>
        <v/>
      </c>
      <c r="C325" s="148" t="str">
        <f t="shared" si="38"/>
        <v/>
      </c>
      <c r="D325" s="148" t="str">
        <f t="shared" si="33"/>
        <v/>
      </c>
      <c r="E325" s="149" t="e">
        <f t="shared" si="34"/>
        <v>#VALUE!</v>
      </c>
      <c r="F325" s="148" t="e">
        <f t="shared" si="35"/>
        <v>#VALUE!</v>
      </c>
      <c r="G325" s="148" t="str">
        <f t="shared" si="36"/>
        <v/>
      </c>
      <c r="H325" s="148" t="str">
        <f t="shared" si="39"/>
        <v/>
      </c>
      <c r="I325" s="148" t="e">
        <f t="shared" si="37"/>
        <v>#VALUE!</v>
      </c>
      <c r="J325" s="148">
        <f>SUM($H$18:$H325)</f>
        <v>0</v>
      </c>
    </row>
    <row r="326" spans="1:10" x14ac:dyDescent="0.2">
      <c r="A326" s="151" t="str">
        <f>IF(Values_Entered,A325+1,"")</f>
        <v/>
      </c>
      <c r="B326" s="150" t="str">
        <f t="shared" si="32"/>
        <v/>
      </c>
      <c r="C326" s="148" t="str">
        <f t="shared" si="38"/>
        <v/>
      </c>
      <c r="D326" s="148" t="str">
        <f t="shared" si="33"/>
        <v/>
      </c>
      <c r="E326" s="149" t="e">
        <f t="shared" si="34"/>
        <v>#VALUE!</v>
      </c>
      <c r="F326" s="148" t="e">
        <f t="shared" si="35"/>
        <v>#VALUE!</v>
      </c>
      <c r="G326" s="148" t="str">
        <f t="shared" si="36"/>
        <v/>
      </c>
      <c r="H326" s="148" t="str">
        <f t="shared" si="39"/>
        <v/>
      </c>
      <c r="I326" s="148" t="e">
        <f t="shared" si="37"/>
        <v>#VALUE!</v>
      </c>
      <c r="J326" s="148">
        <f>SUM($H$18:$H326)</f>
        <v>0</v>
      </c>
    </row>
    <row r="327" spans="1:10" x14ac:dyDescent="0.2">
      <c r="A327" s="151" t="str">
        <f>IF(Values_Entered,A326+1,"")</f>
        <v/>
      </c>
      <c r="B327" s="150" t="str">
        <f t="shared" si="32"/>
        <v/>
      </c>
      <c r="C327" s="148" t="str">
        <f t="shared" si="38"/>
        <v/>
      </c>
      <c r="D327" s="148" t="str">
        <f t="shared" si="33"/>
        <v/>
      </c>
      <c r="E327" s="149" t="e">
        <f t="shared" si="34"/>
        <v>#VALUE!</v>
      </c>
      <c r="F327" s="148" t="e">
        <f t="shared" si="35"/>
        <v>#VALUE!</v>
      </c>
      <c r="G327" s="148" t="str">
        <f t="shared" si="36"/>
        <v/>
      </c>
      <c r="H327" s="148" t="str">
        <f t="shared" si="39"/>
        <v/>
      </c>
      <c r="I327" s="148" t="e">
        <f t="shared" si="37"/>
        <v>#VALUE!</v>
      </c>
      <c r="J327" s="148">
        <f>SUM($H$18:$H327)</f>
        <v>0</v>
      </c>
    </row>
    <row r="328" spans="1:10" x14ac:dyDescent="0.2">
      <c r="A328" s="151" t="str">
        <f>IF(Values_Entered,A327+1,"")</f>
        <v/>
      </c>
      <c r="B328" s="150" t="str">
        <f t="shared" si="32"/>
        <v/>
      </c>
      <c r="C328" s="148" t="str">
        <f t="shared" si="38"/>
        <v/>
      </c>
      <c r="D328" s="148" t="str">
        <f t="shared" si="33"/>
        <v/>
      </c>
      <c r="E328" s="149" t="e">
        <f t="shared" si="34"/>
        <v>#VALUE!</v>
      </c>
      <c r="F328" s="148" t="e">
        <f t="shared" si="35"/>
        <v>#VALUE!</v>
      </c>
      <c r="G328" s="148" t="str">
        <f t="shared" si="36"/>
        <v/>
      </c>
      <c r="H328" s="148" t="str">
        <f t="shared" si="39"/>
        <v/>
      </c>
      <c r="I328" s="148" t="e">
        <f t="shared" si="37"/>
        <v>#VALUE!</v>
      </c>
      <c r="J328" s="148">
        <f>SUM($H$18:$H328)</f>
        <v>0</v>
      </c>
    </row>
    <row r="329" spans="1:10" x14ac:dyDescent="0.2">
      <c r="A329" s="151" t="str">
        <f>IF(Values_Entered,A328+1,"")</f>
        <v/>
      </c>
      <c r="B329" s="150" t="str">
        <f t="shared" si="32"/>
        <v/>
      </c>
      <c r="C329" s="148" t="str">
        <f t="shared" si="38"/>
        <v/>
      </c>
      <c r="D329" s="148" t="str">
        <f t="shared" si="33"/>
        <v/>
      </c>
      <c r="E329" s="149" t="e">
        <f t="shared" si="34"/>
        <v>#VALUE!</v>
      </c>
      <c r="F329" s="148" t="e">
        <f t="shared" si="35"/>
        <v>#VALUE!</v>
      </c>
      <c r="G329" s="148" t="str">
        <f t="shared" si="36"/>
        <v/>
      </c>
      <c r="H329" s="148" t="str">
        <f t="shared" si="39"/>
        <v/>
      </c>
      <c r="I329" s="148" t="e">
        <f t="shared" si="37"/>
        <v>#VALUE!</v>
      </c>
      <c r="J329" s="148">
        <f>SUM($H$18:$H329)</f>
        <v>0</v>
      </c>
    </row>
    <row r="330" spans="1:10" x14ac:dyDescent="0.2">
      <c r="A330" s="151" t="str">
        <f>IF(Values_Entered,A329+1,"")</f>
        <v/>
      </c>
      <c r="B330" s="150" t="str">
        <f t="shared" si="32"/>
        <v/>
      </c>
      <c r="C330" s="148" t="str">
        <f t="shared" si="38"/>
        <v/>
      </c>
      <c r="D330" s="148" t="str">
        <f t="shared" si="33"/>
        <v/>
      </c>
      <c r="E330" s="149" t="e">
        <f t="shared" si="34"/>
        <v>#VALUE!</v>
      </c>
      <c r="F330" s="148" t="e">
        <f t="shared" si="35"/>
        <v>#VALUE!</v>
      </c>
      <c r="G330" s="148" t="str">
        <f t="shared" si="36"/>
        <v/>
      </c>
      <c r="H330" s="148" t="str">
        <f t="shared" si="39"/>
        <v/>
      </c>
      <c r="I330" s="148" t="e">
        <f t="shared" si="37"/>
        <v>#VALUE!</v>
      </c>
      <c r="J330" s="148">
        <f>SUM($H$18:$H330)</f>
        <v>0</v>
      </c>
    </row>
    <row r="331" spans="1:10" x14ac:dyDescent="0.2">
      <c r="A331" s="151" t="str">
        <f>IF(Values_Entered,A330+1,"")</f>
        <v/>
      </c>
      <c r="B331" s="150" t="str">
        <f t="shared" si="32"/>
        <v/>
      </c>
      <c r="C331" s="148" t="str">
        <f t="shared" si="38"/>
        <v/>
      </c>
      <c r="D331" s="148" t="str">
        <f t="shared" si="33"/>
        <v/>
      </c>
      <c r="E331" s="149" t="e">
        <f t="shared" si="34"/>
        <v>#VALUE!</v>
      </c>
      <c r="F331" s="148" t="e">
        <f t="shared" si="35"/>
        <v>#VALUE!</v>
      </c>
      <c r="G331" s="148" t="str">
        <f t="shared" si="36"/>
        <v/>
      </c>
      <c r="H331" s="148" t="str">
        <f t="shared" si="39"/>
        <v/>
      </c>
      <c r="I331" s="148" t="e">
        <f t="shared" si="37"/>
        <v>#VALUE!</v>
      </c>
      <c r="J331" s="148">
        <f>SUM($H$18:$H331)</f>
        <v>0</v>
      </c>
    </row>
    <row r="332" spans="1:10" x14ac:dyDescent="0.2">
      <c r="A332" s="151" t="str">
        <f>IF(Values_Entered,A331+1,"")</f>
        <v/>
      </c>
      <c r="B332" s="150" t="str">
        <f t="shared" si="32"/>
        <v/>
      </c>
      <c r="C332" s="148" t="str">
        <f t="shared" si="38"/>
        <v/>
      </c>
      <c r="D332" s="148" t="str">
        <f t="shared" si="33"/>
        <v/>
      </c>
      <c r="E332" s="149" t="e">
        <f t="shared" si="34"/>
        <v>#VALUE!</v>
      </c>
      <c r="F332" s="148" t="e">
        <f t="shared" si="35"/>
        <v>#VALUE!</v>
      </c>
      <c r="G332" s="148" t="str">
        <f t="shared" si="36"/>
        <v/>
      </c>
      <c r="H332" s="148" t="str">
        <f t="shared" si="39"/>
        <v/>
      </c>
      <c r="I332" s="148" t="e">
        <f t="shared" si="37"/>
        <v>#VALUE!</v>
      </c>
      <c r="J332" s="148">
        <f>SUM($H$18:$H332)</f>
        <v>0</v>
      </c>
    </row>
    <row r="333" spans="1:10" x14ac:dyDescent="0.2">
      <c r="A333" s="151" t="str">
        <f>IF(Values_Entered,A332+1,"")</f>
        <v/>
      </c>
      <c r="B333" s="150" t="str">
        <f t="shared" si="32"/>
        <v/>
      </c>
      <c r="C333" s="148" t="str">
        <f t="shared" si="38"/>
        <v/>
      </c>
      <c r="D333" s="148" t="str">
        <f t="shared" si="33"/>
        <v/>
      </c>
      <c r="E333" s="149" t="e">
        <f t="shared" si="34"/>
        <v>#VALUE!</v>
      </c>
      <c r="F333" s="148" t="e">
        <f t="shared" si="35"/>
        <v>#VALUE!</v>
      </c>
      <c r="G333" s="148" t="str">
        <f t="shared" si="36"/>
        <v/>
      </c>
      <c r="H333" s="148" t="str">
        <f t="shared" si="39"/>
        <v/>
      </c>
      <c r="I333" s="148" t="e">
        <f t="shared" si="37"/>
        <v>#VALUE!</v>
      </c>
      <c r="J333" s="148">
        <f>SUM($H$18:$H333)</f>
        <v>0</v>
      </c>
    </row>
    <row r="334" spans="1:10" x14ac:dyDescent="0.2">
      <c r="A334" s="151" t="str">
        <f>IF(Values_Entered,A333+1,"")</f>
        <v/>
      </c>
      <c r="B334" s="150" t="str">
        <f t="shared" si="32"/>
        <v/>
      </c>
      <c r="C334" s="148" t="str">
        <f t="shared" si="38"/>
        <v/>
      </c>
      <c r="D334" s="148" t="str">
        <f t="shared" si="33"/>
        <v/>
      </c>
      <c r="E334" s="149" t="e">
        <f t="shared" si="34"/>
        <v>#VALUE!</v>
      </c>
      <c r="F334" s="148" t="e">
        <f t="shared" si="35"/>
        <v>#VALUE!</v>
      </c>
      <c r="G334" s="148" t="str">
        <f t="shared" si="36"/>
        <v/>
      </c>
      <c r="H334" s="148" t="str">
        <f t="shared" si="39"/>
        <v/>
      </c>
      <c r="I334" s="148" t="e">
        <f t="shared" si="37"/>
        <v>#VALUE!</v>
      </c>
      <c r="J334" s="148">
        <f>SUM($H$18:$H334)</f>
        <v>0</v>
      </c>
    </row>
    <row r="335" spans="1:10" x14ac:dyDescent="0.2">
      <c r="A335" s="151" t="str">
        <f>IF(Values_Entered,A334+1,"")</f>
        <v/>
      </c>
      <c r="B335" s="150" t="str">
        <f t="shared" si="32"/>
        <v/>
      </c>
      <c r="C335" s="148" t="str">
        <f t="shared" si="38"/>
        <v/>
      </c>
      <c r="D335" s="148" t="str">
        <f t="shared" si="33"/>
        <v/>
      </c>
      <c r="E335" s="149" t="e">
        <f t="shared" si="34"/>
        <v>#VALUE!</v>
      </c>
      <c r="F335" s="148" t="e">
        <f t="shared" si="35"/>
        <v>#VALUE!</v>
      </c>
      <c r="G335" s="148" t="str">
        <f t="shared" si="36"/>
        <v/>
      </c>
      <c r="H335" s="148" t="str">
        <f t="shared" si="39"/>
        <v/>
      </c>
      <c r="I335" s="148" t="e">
        <f t="shared" si="37"/>
        <v>#VALUE!</v>
      </c>
      <c r="J335" s="148">
        <f>SUM($H$18:$H335)</f>
        <v>0</v>
      </c>
    </row>
    <row r="336" spans="1:10" x14ac:dyDescent="0.2">
      <c r="A336" s="151" t="str">
        <f>IF(Values_Entered,A335+1,"")</f>
        <v/>
      </c>
      <c r="B336" s="150" t="str">
        <f t="shared" si="32"/>
        <v/>
      </c>
      <c r="C336" s="148" t="str">
        <f t="shared" si="38"/>
        <v/>
      </c>
      <c r="D336" s="148" t="str">
        <f t="shared" si="33"/>
        <v/>
      </c>
      <c r="E336" s="149" t="e">
        <f t="shared" si="34"/>
        <v>#VALUE!</v>
      </c>
      <c r="F336" s="148" t="e">
        <f t="shared" si="35"/>
        <v>#VALUE!</v>
      </c>
      <c r="G336" s="148" t="str">
        <f t="shared" si="36"/>
        <v/>
      </c>
      <c r="H336" s="148" t="str">
        <f t="shared" si="39"/>
        <v/>
      </c>
      <c r="I336" s="148" t="e">
        <f t="shared" si="37"/>
        <v>#VALUE!</v>
      </c>
      <c r="J336" s="148">
        <f>SUM($H$18:$H336)</f>
        <v>0</v>
      </c>
    </row>
    <row r="337" spans="1:10" x14ac:dyDescent="0.2">
      <c r="A337" s="151" t="str">
        <f>IF(Values_Entered,A336+1,"")</f>
        <v/>
      </c>
      <c r="B337" s="150" t="str">
        <f t="shared" si="32"/>
        <v/>
      </c>
      <c r="C337" s="148" t="str">
        <f t="shared" si="38"/>
        <v/>
      </c>
      <c r="D337" s="148" t="str">
        <f t="shared" si="33"/>
        <v/>
      </c>
      <c r="E337" s="149" t="e">
        <f t="shared" si="34"/>
        <v>#VALUE!</v>
      </c>
      <c r="F337" s="148" t="e">
        <f t="shared" si="35"/>
        <v>#VALUE!</v>
      </c>
      <c r="G337" s="148" t="str">
        <f t="shared" si="36"/>
        <v/>
      </c>
      <c r="H337" s="148" t="str">
        <f t="shared" si="39"/>
        <v/>
      </c>
      <c r="I337" s="148" t="e">
        <f t="shared" si="37"/>
        <v>#VALUE!</v>
      </c>
      <c r="J337" s="148">
        <f>SUM($H$18:$H337)</f>
        <v>0</v>
      </c>
    </row>
    <row r="338" spans="1:10" x14ac:dyDescent="0.2">
      <c r="A338" s="151" t="str">
        <f>IF(Values_Entered,A337+1,"")</f>
        <v/>
      </c>
      <c r="B338" s="150" t="str">
        <f t="shared" ref="B338:B401" si="40">IF(Pay_Num&lt;&gt;"",DATE(YEAR(Loan_Start),MONTH(Loan_Start)+(Pay_Num)*12/Num_Pmt_Per_Year,DAY(Loan_Start)),"")</f>
        <v/>
      </c>
      <c r="C338" s="148" t="str">
        <f t="shared" si="38"/>
        <v/>
      </c>
      <c r="D338" s="148" t="str">
        <f t="shared" ref="D338:D401" si="41">IF(Pay_Num&lt;&gt;"",Scheduled_Monthly_Payment,"")</f>
        <v/>
      </c>
      <c r="E338" s="149" t="e">
        <f t="shared" ref="E338:E401" si="42">IF(AND(Pay_Num&lt;&gt;"",Sched_Pay+Scheduled_Extra_Payments&lt;Beg_Bal),Scheduled_Extra_Payments,IF(AND(Pay_Num&lt;&gt;"",Beg_Bal-Sched_Pay&gt;0),Beg_Bal-Sched_Pay,IF(Pay_Num&lt;&gt;"",0,"")))</f>
        <v>#VALUE!</v>
      </c>
      <c r="F338" s="148" t="e">
        <f t="shared" ref="F338:F401" si="43">IF(AND(Pay_Num&lt;&gt;"",Sched_Pay+Extra_Pay&lt;Beg_Bal),Sched_Pay+Extra_Pay,IF(Pay_Num&lt;&gt;"",Beg_Bal,""))</f>
        <v>#VALUE!</v>
      </c>
      <c r="G338" s="148" t="str">
        <f t="shared" ref="G338:G401" si="44">IF(Pay_Num&lt;&gt;"",Total_Pay-Int,"")</f>
        <v/>
      </c>
      <c r="H338" s="148" t="str">
        <f t="shared" si="39"/>
        <v/>
      </c>
      <c r="I338" s="148" t="e">
        <f t="shared" ref="I338:I401" si="45">IF(AND(Pay_Num&lt;&gt;"",Sched_Pay+Extra_Pay&lt;Beg_Bal),Beg_Bal-Princ,IF(Pay_Num&lt;&gt;"",0,""))</f>
        <v>#VALUE!</v>
      </c>
      <c r="J338" s="148">
        <f>SUM($H$18:$H338)</f>
        <v>0</v>
      </c>
    </row>
    <row r="339" spans="1:10" x14ac:dyDescent="0.2">
      <c r="A339" s="151" t="str">
        <f>IF(Values_Entered,A338+1,"")</f>
        <v/>
      </c>
      <c r="B339" s="150" t="str">
        <f t="shared" si="40"/>
        <v/>
      </c>
      <c r="C339" s="148" t="str">
        <f t="shared" ref="C339:C402" si="46">IF(Pay_Num&lt;&gt;"",I338,"")</f>
        <v/>
      </c>
      <c r="D339" s="148" t="str">
        <f t="shared" si="41"/>
        <v/>
      </c>
      <c r="E339" s="149" t="e">
        <f t="shared" si="42"/>
        <v>#VALUE!</v>
      </c>
      <c r="F339" s="148" t="e">
        <f t="shared" si="43"/>
        <v>#VALUE!</v>
      </c>
      <c r="G339" s="148" t="str">
        <f t="shared" si="44"/>
        <v/>
      </c>
      <c r="H339" s="148" t="str">
        <f t="shared" ref="H339:H402" si="47">IF(Pay_Num&lt;&gt;"",Beg_Bal*Interest_Rate/Num_Pmt_Per_Year,"")</f>
        <v/>
      </c>
      <c r="I339" s="148" t="e">
        <f t="shared" si="45"/>
        <v>#VALUE!</v>
      </c>
      <c r="J339" s="148">
        <f>SUM($H$18:$H339)</f>
        <v>0</v>
      </c>
    </row>
    <row r="340" spans="1:10" x14ac:dyDescent="0.2">
      <c r="A340" s="151" t="str">
        <f>IF(Values_Entered,A339+1,"")</f>
        <v/>
      </c>
      <c r="B340" s="150" t="str">
        <f t="shared" si="40"/>
        <v/>
      </c>
      <c r="C340" s="148" t="str">
        <f t="shared" si="46"/>
        <v/>
      </c>
      <c r="D340" s="148" t="str">
        <f t="shared" si="41"/>
        <v/>
      </c>
      <c r="E340" s="149" t="e">
        <f t="shared" si="42"/>
        <v>#VALUE!</v>
      </c>
      <c r="F340" s="148" t="e">
        <f t="shared" si="43"/>
        <v>#VALUE!</v>
      </c>
      <c r="G340" s="148" t="str">
        <f t="shared" si="44"/>
        <v/>
      </c>
      <c r="H340" s="148" t="str">
        <f t="shared" si="47"/>
        <v/>
      </c>
      <c r="I340" s="148" t="e">
        <f t="shared" si="45"/>
        <v>#VALUE!</v>
      </c>
      <c r="J340" s="148">
        <f>SUM($H$18:$H340)</f>
        <v>0</v>
      </c>
    </row>
    <row r="341" spans="1:10" x14ac:dyDescent="0.2">
      <c r="A341" s="151" t="str">
        <f>IF(Values_Entered,A340+1,"")</f>
        <v/>
      </c>
      <c r="B341" s="150" t="str">
        <f t="shared" si="40"/>
        <v/>
      </c>
      <c r="C341" s="148" t="str">
        <f t="shared" si="46"/>
        <v/>
      </c>
      <c r="D341" s="148" t="str">
        <f t="shared" si="41"/>
        <v/>
      </c>
      <c r="E341" s="149" t="e">
        <f t="shared" si="42"/>
        <v>#VALUE!</v>
      </c>
      <c r="F341" s="148" t="e">
        <f t="shared" si="43"/>
        <v>#VALUE!</v>
      </c>
      <c r="G341" s="148" t="str">
        <f t="shared" si="44"/>
        <v/>
      </c>
      <c r="H341" s="148" t="str">
        <f t="shared" si="47"/>
        <v/>
      </c>
      <c r="I341" s="148" t="e">
        <f t="shared" si="45"/>
        <v>#VALUE!</v>
      </c>
      <c r="J341" s="148">
        <f>SUM($H$18:$H341)</f>
        <v>0</v>
      </c>
    </row>
    <row r="342" spans="1:10" x14ac:dyDescent="0.2">
      <c r="A342" s="151" t="str">
        <f>IF(Values_Entered,A341+1,"")</f>
        <v/>
      </c>
      <c r="B342" s="150" t="str">
        <f t="shared" si="40"/>
        <v/>
      </c>
      <c r="C342" s="148" t="str">
        <f t="shared" si="46"/>
        <v/>
      </c>
      <c r="D342" s="148" t="str">
        <f t="shared" si="41"/>
        <v/>
      </c>
      <c r="E342" s="149" t="e">
        <f t="shared" si="42"/>
        <v>#VALUE!</v>
      </c>
      <c r="F342" s="148" t="e">
        <f t="shared" si="43"/>
        <v>#VALUE!</v>
      </c>
      <c r="G342" s="148" t="str">
        <f t="shared" si="44"/>
        <v/>
      </c>
      <c r="H342" s="148" t="str">
        <f t="shared" si="47"/>
        <v/>
      </c>
      <c r="I342" s="148" t="e">
        <f t="shared" si="45"/>
        <v>#VALUE!</v>
      </c>
      <c r="J342" s="148">
        <f>SUM($H$18:$H342)</f>
        <v>0</v>
      </c>
    </row>
    <row r="343" spans="1:10" x14ac:dyDescent="0.2">
      <c r="A343" s="151" t="str">
        <f>IF(Values_Entered,A342+1,"")</f>
        <v/>
      </c>
      <c r="B343" s="150" t="str">
        <f t="shared" si="40"/>
        <v/>
      </c>
      <c r="C343" s="148" t="str">
        <f t="shared" si="46"/>
        <v/>
      </c>
      <c r="D343" s="148" t="str">
        <f t="shared" si="41"/>
        <v/>
      </c>
      <c r="E343" s="149" t="e">
        <f t="shared" si="42"/>
        <v>#VALUE!</v>
      </c>
      <c r="F343" s="148" t="e">
        <f t="shared" si="43"/>
        <v>#VALUE!</v>
      </c>
      <c r="G343" s="148" t="str">
        <f t="shared" si="44"/>
        <v/>
      </c>
      <c r="H343" s="148" t="str">
        <f t="shared" si="47"/>
        <v/>
      </c>
      <c r="I343" s="148" t="e">
        <f t="shared" si="45"/>
        <v>#VALUE!</v>
      </c>
      <c r="J343" s="148">
        <f>SUM($H$18:$H343)</f>
        <v>0</v>
      </c>
    </row>
    <row r="344" spans="1:10" x14ac:dyDescent="0.2">
      <c r="A344" s="151" t="str">
        <f>IF(Values_Entered,A343+1,"")</f>
        <v/>
      </c>
      <c r="B344" s="150" t="str">
        <f t="shared" si="40"/>
        <v/>
      </c>
      <c r="C344" s="148" t="str">
        <f t="shared" si="46"/>
        <v/>
      </c>
      <c r="D344" s="148" t="str">
        <f t="shared" si="41"/>
        <v/>
      </c>
      <c r="E344" s="149" t="e">
        <f t="shared" si="42"/>
        <v>#VALUE!</v>
      </c>
      <c r="F344" s="148" t="e">
        <f t="shared" si="43"/>
        <v>#VALUE!</v>
      </c>
      <c r="G344" s="148" t="str">
        <f t="shared" si="44"/>
        <v/>
      </c>
      <c r="H344" s="148" t="str">
        <f t="shared" si="47"/>
        <v/>
      </c>
      <c r="I344" s="148" t="e">
        <f t="shared" si="45"/>
        <v>#VALUE!</v>
      </c>
      <c r="J344" s="148">
        <f>SUM($H$18:$H344)</f>
        <v>0</v>
      </c>
    </row>
    <row r="345" spans="1:10" x14ac:dyDescent="0.2">
      <c r="A345" s="151" t="str">
        <f>IF(Values_Entered,A344+1,"")</f>
        <v/>
      </c>
      <c r="B345" s="150" t="str">
        <f t="shared" si="40"/>
        <v/>
      </c>
      <c r="C345" s="148" t="str">
        <f t="shared" si="46"/>
        <v/>
      </c>
      <c r="D345" s="148" t="str">
        <f t="shared" si="41"/>
        <v/>
      </c>
      <c r="E345" s="149" t="e">
        <f t="shared" si="42"/>
        <v>#VALUE!</v>
      </c>
      <c r="F345" s="148" t="e">
        <f t="shared" si="43"/>
        <v>#VALUE!</v>
      </c>
      <c r="G345" s="148" t="str">
        <f t="shared" si="44"/>
        <v/>
      </c>
      <c r="H345" s="148" t="str">
        <f t="shared" si="47"/>
        <v/>
      </c>
      <c r="I345" s="148" t="e">
        <f t="shared" si="45"/>
        <v>#VALUE!</v>
      </c>
      <c r="J345" s="148">
        <f>SUM($H$18:$H345)</f>
        <v>0</v>
      </c>
    </row>
    <row r="346" spans="1:10" x14ac:dyDescent="0.2">
      <c r="A346" s="151" t="str">
        <f>IF(Values_Entered,A345+1,"")</f>
        <v/>
      </c>
      <c r="B346" s="150" t="str">
        <f t="shared" si="40"/>
        <v/>
      </c>
      <c r="C346" s="148" t="str">
        <f t="shared" si="46"/>
        <v/>
      </c>
      <c r="D346" s="148" t="str">
        <f t="shared" si="41"/>
        <v/>
      </c>
      <c r="E346" s="149" t="e">
        <f t="shared" si="42"/>
        <v>#VALUE!</v>
      </c>
      <c r="F346" s="148" t="e">
        <f t="shared" si="43"/>
        <v>#VALUE!</v>
      </c>
      <c r="G346" s="148" t="str">
        <f t="shared" si="44"/>
        <v/>
      </c>
      <c r="H346" s="148" t="str">
        <f t="shared" si="47"/>
        <v/>
      </c>
      <c r="I346" s="148" t="e">
        <f t="shared" si="45"/>
        <v>#VALUE!</v>
      </c>
      <c r="J346" s="148">
        <f>SUM($H$18:$H346)</f>
        <v>0</v>
      </c>
    </row>
    <row r="347" spans="1:10" x14ac:dyDescent="0.2">
      <c r="A347" s="151" t="str">
        <f>IF(Values_Entered,A346+1,"")</f>
        <v/>
      </c>
      <c r="B347" s="150" t="str">
        <f t="shared" si="40"/>
        <v/>
      </c>
      <c r="C347" s="148" t="str">
        <f t="shared" si="46"/>
        <v/>
      </c>
      <c r="D347" s="148" t="str">
        <f t="shared" si="41"/>
        <v/>
      </c>
      <c r="E347" s="149" t="e">
        <f t="shared" si="42"/>
        <v>#VALUE!</v>
      </c>
      <c r="F347" s="148" t="e">
        <f t="shared" si="43"/>
        <v>#VALUE!</v>
      </c>
      <c r="G347" s="148" t="str">
        <f t="shared" si="44"/>
        <v/>
      </c>
      <c r="H347" s="148" t="str">
        <f t="shared" si="47"/>
        <v/>
      </c>
      <c r="I347" s="148" t="e">
        <f t="shared" si="45"/>
        <v>#VALUE!</v>
      </c>
      <c r="J347" s="148">
        <f>SUM($H$18:$H347)</f>
        <v>0</v>
      </c>
    </row>
    <row r="348" spans="1:10" x14ac:dyDescent="0.2">
      <c r="A348" s="151" t="str">
        <f>IF(Values_Entered,A347+1,"")</f>
        <v/>
      </c>
      <c r="B348" s="150" t="str">
        <f t="shared" si="40"/>
        <v/>
      </c>
      <c r="C348" s="148" t="str">
        <f t="shared" si="46"/>
        <v/>
      </c>
      <c r="D348" s="148" t="str">
        <f t="shared" si="41"/>
        <v/>
      </c>
      <c r="E348" s="149" t="e">
        <f t="shared" si="42"/>
        <v>#VALUE!</v>
      </c>
      <c r="F348" s="148" t="e">
        <f t="shared" si="43"/>
        <v>#VALUE!</v>
      </c>
      <c r="G348" s="148" t="str">
        <f t="shared" si="44"/>
        <v/>
      </c>
      <c r="H348" s="148" t="str">
        <f t="shared" si="47"/>
        <v/>
      </c>
      <c r="I348" s="148" t="e">
        <f t="shared" si="45"/>
        <v>#VALUE!</v>
      </c>
      <c r="J348" s="148">
        <f>SUM($H$18:$H348)</f>
        <v>0</v>
      </c>
    </row>
    <row r="349" spans="1:10" x14ac:dyDescent="0.2">
      <c r="A349" s="151" t="str">
        <f>IF(Values_Entered,A348+1,"")</f>
        <v/>
      </c>
      <c r="B349" s="150" t="str">
        <f t="shared" si="40"/>
        <v/>
      </c>
      <c r="C349" s="148" t="str">
        <f t="shared" si="46"/>
        <v/>
      </c>
      <c r="D349" s="148" t="str">
        <f t="shared" si="41"/>
        <v/>
      </c>
      <c r="E349" s="149" t="e">
        <f t="shared" si="42"/>
        <v>#VALUE!</v>
      </c>
      <c r="F349" s="148" t="e">
        <f t="shared" si="43"/>
        <v>#VALUE!</v>
      </c>
      <c r="G349" s="148" t="str">
        <f t="shared" si="44"/>
        <v/>
      </c>
      <c r="H349" s="148" t="str">
        <f t="shared" si="47"/>
        <v/>
      </c>
      <c r="I349" s="148" t="e">
        <f t="shared" si="45"/>
        <v>#VALUE!</v>
      </c>
      <c r="J349" s="148">
        <f>SUM($H$18:$H349)</f>
        <v>0</v>
      </c>
    </row>
    <row r="350" spans="1:10" x14ac:dyDescent="0.2">
      <c r="A350" s="151" t="str">
        <f>IF(Values_Entered,A349+1,"")</f>
        <v/>
      </c>
      <c r="B350" s="150" t="str">
        <f t="shared" si="40"/>
        <v/>
      </c>
      <c r="C350" s="148" t="str">
        <f t="shared" si="46"/>
        <v/>
      </c>
      <c r="D350" s="148" t="str">
        <f t="shared" si="41"/>
        <v/>
      </c>
      <c r="E350" s="149" t="e">
        <f t="shared" si="42"/>
        <v>#VALUE!</v>
      </c>
      <c r="F350" s="148" t="e">
        <f t="shared" si="43"/>
        <v>#VALUE!</v>
      </c>
      <c r="G350" s="148" t="str">
        <f t="shared" si="44"/>
        <v/>
      </c>
      <c r="H350" s="148" t="str">
        <f t="shared" si="47"/>
        <v/>
      </c>
      <c r="I350" s="148" t="e">
        <f t="shared" si="45"/>
        <v>#VALUE!</v>
      </c>
      <c r="J350" s="148">
        <f>SUM($H$18:$H350)</f>
        <v>0</v>
      </c>
    </row>
    <row r="351" spans="1:10" x14ac:dyDescent="0.2">
      <c r="A351" s="151" t="str">
        <f>IF(Values_Entered,A350+1,"")</f>
        <v/>
      </c>
      <c r="B351" s="150" t="str">
        <f t="shared" si="40"/>
        <v/>
      </c>
      <c r="C351" s="148" t="str">
        <f t="shared" si="46"/>
        <v/>
      </c>
      <c r="D351" s="148" t="str">
        <f t="shared" si="41"/>
        <v/>
      </c>
      <c r="E351" s="149" t="e">
        <f t="shared" si="42"/>
        <v>#VALUE!</v>
      </c>
      <c r="F351" s="148" t="e">
        <f t="shared" si="43"/>
        <v>#VALUE!</v>
      </c>
      <c r="G351" s="148" t="str">
        <f t="shared" si="44"/>
        <v/>
      </c>
      <c r="H351" s="148" t="str">
        <f t="shared" si="47"/>
        <v/>
      </c>
      <c r="I351" s="148" t="e">
        <f t="shared" si="45"/>
        <v>#VALUE!</v>
      </c>
      <c r="J351" s="148">
        <f>SUM($H$18:$H351)</f>
        <v>0</v>
      </c>
    </row>
    <row r="352" spans="1:10" x14ac:dyDescent="0.2">
      <c r="A352" s="151" t="str">
        <f>IF(Values_Entered,A351+1,"")</f>
        <v/>
      </c>
      <c r="B352" s="150" t="str">
        <f t="shared" si="40"/>
        <v/>
      </c>
      <c r="C352" s="148" t="str">
        <f t="shared" si="46"/>
        <v/>
      </c>
      <c r="D352" s="148" t="str">
        <f t="shared" si="41"/>
        <v/>
      </c>
      <c r="E352" s="149" t="e">
        <f t="shared" si="42"/>
        <v>#VALUE!</v>
      </c>
      <c r="F352" s="148" t="e">
        <f t="shared" si="43"/>
        <v>#VALUE!</v>
      </c>
      <c r="G352" s="148" t="str">
        <f t="shared" si="44"/>
        <v/>
      </c>
      <c r="H352" s="148" t="str">
        <f t="shared" si="47"/>
        <v/>
      </c>
      <c r="I352" s="148" t="e">
        <f t="shared" si="45"/>
        <v>#VALUE!</v>
      </c>
      <c r="J352" s="148">
        <f>SUM($H$18:$H352)</f>
        <v>0</v>
      </c>
    </row>
    <row r="353" spans="1:10" x14ac:dyDescent="0.2">
      <c r="A353" s="151" t="str">
        <f>IF(Values_Entered,A352+1,"")</f>
        <v/>
      </c>
      <c r="B353" s="150" t="str">
        <f t="shared" si="40"/>
        <v/>
      </c>
      <c r="C353" s="148" t="str">
        <f t="shared" si="46"/>
        <v/>
      </c>
      <c r="D353" s="148" t="str">
        <f t="shared" si="41"/>
        <v/>
      </c>
      <c r="E353" s="149" t="e">
        <f t="shared" si="42"/>
        <v>#VALUE!</v>
      </c>
      <c r="F353" s="148" t="e">
        <f t="shared" si="43"/>
        <v>#VALUE!</v>
      </c>
      <c r="G353" s="148" t="str">
        <f t="shared" si="44"/>
        <v/>
      </c>
      <c r="H353" s="148" t="str">
        <f t="shared" si="47"/>
        <v/>
      </c>
      <c r="I353" s="148" t="e">
        <f t="shared" si="45"/>
        <v>#VALUE!</v>
      </c>
      <c r="J353" s="148">
        <f>SUM($H$18:$H353)</f>
        <v>0</v>
      </c>
    </row>
    <row r="354" spans="1:10" x14ac:dyDescent="0.2">
      <c r="A354" s="151" t="str">
        <f>IF(Values_Entered,A353+1,"")</f>
        <v/>
      </c>
      <c r="B354" s="150" t="str">
        <f t="shared" si="40"/>
        <v/>
      </c>
      <c r="C354" s="148" t="str">
        <f t="shared" si="46"/>
        <v/>
      </c>
      <c r="D354" s="148" t="str">
        <f t="shared" si="41"/>
        <v/>
      </c>
      <c r="E354" s="149" t="e">
        <f t="shared" si="42"/>
        <v>#VALUE!</v>
      </c>
      <c r="F354" s="148" t="e">
        <f t="shared" si="43"/>
        <v>#VALUE!</v>
      </c>
      <c r="G354" s="148" t="str">
        <f t="shared" si="44"/>
        <v/>
      </c>
      <c r="H354" s="148" t="str">
        <f t="shared" si="47"/>
        <v/>
      </c>
      <c r="I354" s="148" t="e">
        <f t="shared" si="45"/>
        <v>#VALUE!</v>
      </c>
      <c r="J354" s="148">
        <f>SUM($H$18:$H354)</f>
        <v>0</v>
      </c>
    </row>
    <row r="355" spans="1:10" x14ac:dyDescent="0.2">
      <c r="A355" s="151" t="str">
        <f>IF(Values_Entered,A354+1,"")</f>
        <v/>
      </c>
      <c r="B355" s="150" t="str">
        <f t="shared" si="40"/>
        <v/>
      </c>
      <c r="C355" s="148" t="str">
        <f t="shared" si="46"/>
        <v/>
      </c>
      <c r="D355" s="148" t="str">
        <f t="shared" si="41"/>
        <v/>
      </c>
      <c r="E355" s="149" t="e">
        <f t="shared" si="42"/>
        <v>#VALUE!</v>
      </c>
      <c r="F355" s="148" t="e">
        <f t="shared" si="43"/>
        <v>#VALUE!</v>
      </c>
      <c r="G355" s="148" t="str">
        <f t="shared" si="44"/>
        <v/>
      </c>
      <c r="H355" s="148" t="str">
        <f t="shared" si="47"/>
        <v/>
      </c>
      <c r="I355" s="148" t="e">
        <f t="shared" si="45"/>
        <v>#VALUE!</v>
      </c>
      <c r="J355" s="148">
        <f>SUM($H$18:$H355)</f>
        <v>0</v>
      </c>
    </row>
    <row r="356" spans="1:10" x14ac:dyDescent="0.2">
      <c r="A356" s="151" t="str">
        <f>IF(Values_Entered,A355+1,"")</f>
        <v/>
      </c>
      <c r="B356" s="150" t="str">
        <f t="shared" si="40"/>
        <v/>
      </c>
      <c r="C356" s="148" t="str">
        <f t="shared" si="46"/>
        <v/>
      </c>
      <c r="D356" s="148" t="str">
        <f t="shared" si="41"/>
        <v/>
      </c>
      <c r="E356" s="149" t="e">
        <f t="shared" si="42"/>
        <v>#VALUE!</v>
      </c>
      <c r="F356" s="148" t="e">
        <f t="shared" si="43"/>
        <v>#VALUE!</v>
      </c>
      <c r="G356" s="148" t="str">
        <f t="shared" si="44"/>
        <v/>
      </c>
      <c r="H356" s="148" t="str">
        <f t="shared" si="47"/>
        <v/>
      </c>
      <c r="I356" s="148" t="e">
        <f t="shared" si="45"/>
        <v>#VALUE!</v>
      </c>
      <c r="J356" s="148">
        <f>SUM($H$18:$H356)</f>
        <v>0</v>
      </c>
    </row>
    <row r="357" spans="1:10" x14ac:dyDescent="0.2">
      <c r="A357" s="151" t="str">
        <f>IF(Values_Entered,A356+1,"")</f>
        <v/>
      </c>
      <c r="B357" s="150" t="str">
        <f t="shared" si="40"/>
        <v/>
      </c>
      <c r="C357" s="148" t="str">
        <f t="shared" si="46"/>
        <v/>
      </c>
      <c r="D357" s="148" t="str">
        <f t="shared" si="41"/>
        <v/>
      </c>
      <c r="E357" s="149" t="e">
        <f t="shared" si="42"/>
        <v>#VALUE!</v>
      </c>
      <c r="F357" s="148" t="e">
        <f t="shared" si="43"/>
        <v>#VALUE!</v>
      </c>
      <c r="G357" s="148" t="str">
        <f t="shared" si="44"/>
        <v/>
      </c>
      <c r="H357" s="148" t="str">
        <f t="shared" si="47"/>
        <v/>
      </c>
      <c r="I357" s="148" t="e">
        <f t="shared" si="45"/>
        <v>#VALUE!</v>
      </c>
      <c r="J357" s="148">
        <f>SUM($H$18:$H357)</f>
        <v>0</v>
      </c>
    </row>
    <row r="358" spans="1:10" x14ac:dyDescent="0.2">
      <c r="A358" s="151" t="str">
        <f>IF(Values_Entered,A357+1,"")</f>
        <v/>
      </c>
      <c r="B358" s="150" t="str">
        <f t="shared" si="40"/>
        <v/>
      </c>
      <c r="C358" s="148" t="str">
        <f t="shared" si="46"/>
        <v/>
      </c>
      <c r="D358" s="148" t="str">
        <f t="shared" si="41"/>
        <v/>
      </c>
      <c r="E358" s="149" t="e">
        <f t="shared" si="42"/>
        <v>#VALUE!</v>
      </c>
      <c r="F358" s="148" t="e">
        <f t="shared" si="43"/>
        <v>#VALUE!</v>
      </c>
      <c r="G358" s="148" t="str">
        <f t="shared" si="44"/>
        <v/>
      </c>
      <c r="H358" s="148" t="str">
        <f t="shared" si="47"/>
        <v/>
      </c>
      <c r="I358" s="148" t="e">
        <f t="shared" si="45"/>
        <v>#VALUE!</v>
      </c>
      <c r="J358" s="148">
        <f>SUM($H$18:$H358)</f>
        <v>0</v>
      </c>
    </row>
    <row r="359" spans="1:10" x14ac:dyDescent="0.2">
      <c r="A359" s="151" t="str">
        <f>IF(Values_Entered,A358+1,"")</f>
        <v/>
      </c>
      <c r="B359" s="150" t="str">
        <f t="shared" si="40"/>
        <v/>
      </c>
      <c r="C359" s="148" t="str">
        <f t="shared" si="46"/>
        <v/>
      </c>
      <c r="D359" s="148" t="str">
        <f t="shared" si="41"/>
        <v/>
      </c>
      <c r="E359" s="149" t="e">
        <f t="shared" si="42"/>
        <v>#VALUE!</v>
      </c>
      <c r="F359" s="148" t="e">
        <f t="shared" si="43"/>
        <v>#VALUE!</v>
      </c>
      <c r="G359" s="148" t="str">
        <f t="shared" si="44"/>
        <v/>
      </c>
      <c r="H359" s="148" t="str">
        <f t="shared" si="47"/>
        <v/>
      </c>
      <c r="I359" s="148" t="e">
        <f t="shared" si="45"/>
        <v>#VALUE!</v>
      </c>
      <c r="J359" s="148">
        <f>SUM($H$18:$H359)</f>
        <v>0</v>
      </c>
    </row>
    <row r="360" spans="1:10" x14ac:dyDescent="0.2">
      <c r="A360" s="151" t="str">
        <f>IF(Values_Entered,A359+1,"")</f>
        <v/>
      </c>
      <c r="B360" s="150" t="str">
        <f t="shared" si="40"/>
        <v/>
      </c>
      <c r="C360" s="148" t="str">
        <f t="shared" si="46"/>
        <v/>
      </c>
      <c r="D360" s="148" t="str">
        <f t="shared" si="41"/>
        <v/>
      </c>
      <c r="E360" s="149" t="e">
        <f t="shared" si="42"/>
        <v>#VALUE!</v>
      </c>
      <c r="F360" s="148" t="e">
        <f t="shared" si="43"/>
        <v>#VALUE!</v>
      </c>
      <c r="G360" s="148" t="str">
        <f t="shared" si="44"/>
        <v/>
      </c>
      <c r="H360" s="148" t="str">
        <f t="shared" si="47"/>
        <v/>
      </c>
      <c r="I360" s="148" t="e">
        <f t="shared" si="45"/>
        <v>#VALUE!</v>
      </c>
      <c r="J360" s="148">
        <f>SUM($H$18:$H360)</f>
        <v>0</v>
      </c>
    </row>
    <row r="361" spans="1:10" x14ac:dyDescent="0.2">
      <c r="A361" s="151" t="str">
        <f>IF(Values_Entered,A360+1,"")</f>
        <v/>
      </c>
      <c r="B361" s="150" t="str">
        <f t="shared" si="40"/>
        <v/>
      </c>
      <c r="C361" s="148" t="str">
        <f t="shared" si="46"/>
        <v/>
      </c>
      <c r="D361" s="148" t="str">
        <f t="shared" si="41"/>
        <v/>
      </c>
      <c r="E361" s="149" t="e">
        <f t="shared" si="42"/>
        <v>#VALUE!</v>
      </c>
      <c r="F361" s="148" t="e">
        <f t="shared" si="43"/>
        <v>#VALUE!</v>
      </c>
      <c r="G361" s="148" t="str">
        <f t="shared" si="44"/>
        <v/>
      </c>
      <c r="H361" s="148" t="str">
        <f t="shared" si="47"/>
        <v/>
      </c>
      <c r="I361" s="148" t="e">
        <f t="shared" si="45"/>
        <v>#VALUE!</v>
      </c>
      <c r="J361" s="148">
        <f>SUM($H$18:$H361)</f>
        <v>0</v>
      </c>
    </row>
    <row r="362" spans="1:10" x14ac:dyDescent="0.2">
      <c r="A362" s="151" t="str">
        <f>IF(Values_Entered,A361+1,"")</f>
        <v/>
      </c>
      <c r="B362" s="150" t="str">
        <f t="shared" si="40"/>
        <v/>
      </c>
      <c r="C362" s="148" t="str">
        <f t="shared" si="46"/>
        <v/>
      </c>
      <c r="D362" s="148" t="str">
        <f t="shared" si="41"/>
        <v/>
      </c>
      <c r="E362" s="149" t="e">
        <f t="shared" si="42"/>
        <v>#VALUE!</v>
      </c>
      <c r="F362" s="148" t="e">
        <f t="shared" si="43"/>
        <v>#VALUE!</v>
      </c>
      <c r="G362" s="148" t="str">
        <f t="shared" si="44"/>
        <v/>
      </c>
      <c r="H362" s="148" t="str">
        <f t="shared" si="47"/>
        <v/>
      </c>
      <c r="I362" s="148" t="e">
        <f t="shared" si="45"/>
        <v>#VALUE!</v>
      </c>
      <c r="J362" s="148">
        <f>SUM($H$18:$H362)</f>
        <v>0</v>
      </c>
    </row>
    <row r="363" spans="1:10" x14ac:dyDescent="0.2">
      <c r="A363" s="151" t="str">
        <f>IF(Values_Entered,A362+1,"")</f>
        <v/>
      </c>
      <c r="B363" s="150" t="str">
        <f t="shared" si="40"/>
        <v/>
      </c>
      <c r="C363" s="148" t="str">
        <f t="shared" si="46"/>
        <v/>
      </c>
      <c r="D363" s="148" t="str">
        <f t="shared" si="41"/>
        <v/>
      </c>
      <c r="E363" s="149" t="e">
        <f t="shared" si="42"/>
        <v>#VALUE!</v>
      </c>
      <c r="F363" s="148" t="e">
        <f t="shared" si="43"/>
        <v>#VALUE!</v>
      </c>
      <c r="G363" s="148" t="str">
        <f t="shared" si="44"/>
        <v/>
      </c>
      <c r="H363" s="148" t="str">
        <f t="shared" si="47"/>
        <v/>
      </c>
      <c r="I363" s="148" t="e">
        <f t="shared" si="45"/>
        <v>#VALUE!</v>
      </c>
      <c r="J363" s="148">
        <f>SUM($H$18:$H363)</f>
        <v>0</v>
      </c>
    </row>
    <row r="364" spans="1:10" x14ac:dyDescent="0.2">
      <c r="A364" s="151" t="str">
        <f>IF(Values_Entered,A363+1,"")</f>
        <v/>
      </c>
      <c r="B364" s="150" t="str">
        <f t="shared" si="40"/>
        <v/>
      </c>
      <c r="C364" s="148" t="str">
        <f t="shared" si="46"/>
        <v/>
      </c>
      <c r="D364" s="148" t="str">
        <f t="shared" si="41"/>
        <v/>
      </c>
      <c r="E364" s="149" t="e">
        <f t="shared" si="42"/>
        <v>#VALUE!</v>
      </c>
      <c r="F364" s="148" t="e">
        <f t="shared" si="43"/>
        <v>#VALUE!</v>
      </c>
      <c r="G364" s="148" t="str">
        <f t="shared" si="44"/>
        <v/>
      </c>
      <c r="H364" s="148" t="str">
        <f t="shared" si="47"/>
        <v/>
      </c>
      <c r="I364" s="148" t="e">
        <f t="shared" si="45"/>
        <v>#VALUE!</v>
      </c>
      <c r="J364" s="148">
        <f>SUM($H$18:$H364)</f>
        <v>0</v>
      </c>
    </row>
    <row r="365" spans="1:10" x14ac:dyDescent="0.2">
      <c r="A365" s="151" t="str">
        <f>IF(Values_Entered,A364+1,"")</f>
        <v/>
      </c>
      <c r="B365" s="150" t="str">
        <f t="shared" si="40"/>
        <v/>
      </c>
      <c r="C365" s="148" t="str">
        <f t="shared" si="46"/>
        <v/>
      </c>
      <c r="D365" s="148" t="str">
        <f t="shared" si="41"/>
        <v/>
      </c>
      <c r="E365" s="149" t="e">
        <f t="shared" si="42"/>
        <v>#VALUE!</v>
      </c>
      <c r="F365" s="148" t="e">
        <f t="shared" si="43"/>
        <v>#VALUE!</v>
      </c>
      <c r="G365" s="148" t="str">
        <f t="shared" si="44"/>
        <v/>
      </c>
      <c r="H365" s="148" t="str">
        <f t="shared" si="47"/>
        <v/>
      </c>
      <c r="I365" s="148" t="e">
        <f t="shared" si="45"/>
        <v>#VALUE!</v>
      </c>
      <c r="J365" s="148">
        <f>SUM($H$18:$H365)</f>
        <v>0</v>
      </c>
    </row>
    <row r="366" spans="1:10" x14ac:dyDescent="0.2">
      <c r="A366" s="151" t="str">
        <f>IF(Values_Entered,A365+1,"")</f>
        <v/>
      </c>
      <c r="B366" s="150" t="str">
        <f t="shared" si="40"/>
        <v/>
      </c>
      <c r="C366" s="148" t="str">
        <f t="shared" si="46"/>
        <v/>
      </c>
      <c r="D366" s="148" t="str">
        <f t="shared" si="41"/>
        <v/>
      </c>
      <c r="E366" s="149" t="e">
        <f t="shared" si="42"/>
        <v>#VALUE!</v>
      </c>
      <c r="F366" s="148" t="e">
        <f t="shared" si="43"/>
        <v>#VALUE!</v>
      </c>
      <c r="G366" s="148" t="str">
        <f t="shared" si="44"/>
        <v/>
      </c>
      <c r="H366" s="148" t="str">
        <f t="shared" si="47"/>
        <v/>
      </c>
      <c r="I366" s="148" t="e">
        <f t="shared" si="45"/>
        <v>#VALUE!</v>
      </c>
      <c r="J366" s="148">
        <f>SUM($H$18:$H366)</f>
        <v>0</v>
      </c>
    </row>
    <row r="367" spans="1:10" x14ac:dyDescent="0.2">
      <c r="A367" s="151" t="str">
        <f>IF(Values_Entered,A366+1,"")</f>
        <v/>
      </c>
      <c r="B367" s="150" t="str">
        <f t="shared" si="40"/>
        <v/>
      </c>
      <c r="C367" s="148" t="str">
        <f t="shared" si="46"/>
        <v/>
      </c>
      <c r="D367" s="148" t="str">
        <f t="shared" si="41"/>
        <v/>
      </c>
      <c r="E367" s="149" t="e">
        <f t="shared" si="42"/>
        <v>#VALUE!</v>
      </c>
      <c r="F367" s="148" t="e">
        <f t="shared" si="43"/>
        <v>#VALUE!</v>
      </c>
      <c r="G367" s="148" t="str">
        <f t="shared" si="44"/>
        <v/>
      </c>
      <c r="H367" s="148" t="str">
        <f t="shared" si="47"/>
        <v/>
      </c>
      <c r="I367" s="148" t="e">
        <f t="shared" si="45"/>
        <v>#VALUE!</v>
      </c>
      <c r="J367" s="148">
        <f>SUM($H$18:$H367)</f>
        <v>0</v>
      </c>
    </row>
    <row r="368" spans="1:10" x14ac:dyDescent="0.2">
      <c r="A368" s="151" t="str">
        <f>IF(Values_Entered,A367+1,"")</f>
        <v/>
      </c>
      <c r="B368" s="150" t="str">
        <f t="shared" si="40"/>
        <v/>
      </c>
      <c r="C368" s="148" t="str">
        <f t="shared" si="46"/>
        <v/>
      </c>
      <c r="D368" s="148" t="str">
        <f t="shared" si="41"/>
        <v/>
      </c>
      <c r="E368" s="149" t="e">
        <f t="shared" si="42"/>
        <v>#VALUE!</v>
      </c>
      <c r="F368" s="148" t="e">
        <f t="shared" si="43"/>
        <v>#VALUE!</v>
      </c>
      <c r="G368" s="148" t="str">
        <f t="shared" si="44"/>
        <v/>
      </c>
      <c r="H368" s="148" t="str">
        <f t="shared" si="47"/>
        <v/>
      </c>
      <c r="I368" s="148" t="e">
        <f t="shared" si="45"/>
        <v>#VALUE!</v>
      </c>
      <c r="J368" s="148">
        <f>SUM($H$18:$H368)</f>
        <v>0</v>
      </c>
    </row>
    <row r="369" spans="1:10" x14ac:dyDescent="0.2">
      <c r="A369" s="151" t="str">
        <f>IF(Values_Entered,A368+1,"")</f>
        <v/>
      </c>
      <c r="B369" s="150" t="str">
        <f t="shared" si="40"/>
        <v/>
      </c>
      <c r="C369" s="148" t="str">
        <f t="shared" si="46"/>
        <v/>
      </c>
      <c r="D369" s="148" t="str">
        <f t="shared" si="41"/>
        <v/>
      </c>
      <c r="E369" s="149" t="e">
        <f t="shared" si="42"/>
        <v>#VALUE!</v>
      </c>
      <c r="F369" s="148" t="e">
        <f t="shared" si="43"/>
        <v>#VALUE!</v>
      </c>
      <c r="G369" s="148" t="str">
        <f t="shared" si="44"/>
        <v/>
      </c>
      <c r="H369" s="148" t="str">
        <f t="shared" si="47"/>
        <v/>
      </c>
      <c r="I369" s="148" t="e">
        <f t="shared" si="45"/>
        <v>#VALUE!</v>
      </c>
      <c r="J369" s="148">
        <f>SUM($H$18:$H369)</f>
        <v>0</v>
      </c>
    </row>
    <row r="370" spans="1:10" x14ac:dyDescent="0.2">
      <c r="A370" s="151" t="str">
        <f>IF(Values_Entered,A369+1,"")</f>
        <v/>
      </c>
      <c r="B370" s="150" t="str">
        <f t="shared" si="40"/>
        <v/>
      </c>
      <c r="C370" s="148" t="str">
        <f t="shared" si="46"/>
        <v/>
      </c>
      <c r="D370" s="148" t="str">
        <f t="shared" si="41"/>
        <v/>
      </c>
      <c r="E370" s="149" t="e">
        <f t="shared" si="42"/>
        <v>#VALUE!</v>
      </c>
      <c r="F370" s="148" t="e">
        <f t="shared" si="43"/>
        <v>#VALUE!</v>
      </c>
      <c r="G370" s="148" t="str">
        <f t="shared" si="44"/>
        <v/>
      </c>
      <c r="H370" s="148" t="str">
        <f t="shared" si="47"/>
        <v/>
      </c>
      <c r="I370" s="148" t="e">
        <f t="shared" si="45"/>
        <v>#VALUE!</v>
      </c>
      <c r="J370" s="148">
        <f>SUM($H$18:$H370)</f>
        <v>0</v>
      </c>
    </row>
    <row r="371" spans="1:10" x14ac:dyDescent="0.2">
      <c r="A371" s="151" t="str">
        <f>IF(Values_Entered,A370+1,"")</f>
        <v/>
      </c>
      <c r="B371" s="150" t="str">
        <f t="shared" si="40"/>
        <v/>
      </c>
      <c r="C371" s="148" t="str">
        <f t="shared" si="46"/>
        <v/>
      </c>
      <c r="D371" s="148" t="str">
        <f t="shared" si="41"/>
        <v/>
      </c>
      <c r="E371" s="149" t="e">
        <f t="shared" si="42"/>
        <v>#VALUE!</v>
      </c>
      <c r="F371" s="148" t="e">
        <f t="shared" si="43"/>
        <v>#VALUE!</v>
      </c>
      <c r="G371" s="148" t="str">
        <f t="shared" si="44"/>
        <v/>
      </c>
      <c r="H371" s="148" t="str">
        <f t="shared" si="47"/>
        <v/>
      </c>
      <c r="I371" s="148" t="e">
        <f t="shared" si="45"/>
        <v>#VALUE!</v>
      </c>
      <c r="J371" s="148">
        <f>SUM($H$18:$H371)</f>
        <v>0</v>
      </c>
    </row>
    <row r="372" spans="1:10" x14ac:dyDescent="0.2">
      <c r="A372" s="151" t="str">
        <f>IF(Values_Entered,A371+1,"")</f>
        <v/>
      </c>
      <c r="B372" s="150" t="str">
        <f t="shared" si="40"/>
        <v/>
      </c>
      <c r="C372" s="148" t="str">
        <f t="shared" si="46"/>
        <v/>
      </c>
      <c r="D372" s="148" t="str">
        <f t="shared" si="41"/>
        <v/>
      </c>
      <c r="E372" s="149" t="e">
        <f t="shared" si="42"/>
        <v>#VALUE!</v>
      </c>
      <c r="F372" s="148" t="e">
        <f t="shared" si="43"/>
        <v>#VALUE!</v>
      </c>
      <c r="G372" s="148" t="str">
        <f t="shared" si="44"/>
        <v/>
      </c>
      <c r="H372" s="148" t="str">
        <f t="shared" si="47"/>
        <v/>
      </c>
      <c r="I372" s="148" t="e">
        <f t="shared" si="45"/>
        <v>#VALUE!</v>
      </c>
      <c r="J372" s="148">
        <f>SUM($H$18:$H372)</f>
        <v>0</v>
      </c>
    </row>
    <row r="373" spans="1:10" x14ac:dyDescent="0.2">
      <c r="A373" s="151" t="str">
        <f>IF(Values_Entered,A372+1,"")</f>
        <v/>
      </c>
      <c r="B373" s="150" t="str">
        <f t="shared" si="40"/>
        <v/>
      </c>
      <c r="C373" s="148" t="str">
        <f t="shared" si="46"/>
        <v/>
      </c>
      <c r="D373" s="148" t="str">
        <f t="shared" si="41"/>
        <v/>
      </c>
      <c r="E373" s="149" t="e">
        <f t="shared" si="42"/>
        <v>#VALUE!</v>
      </c>
      <c r="F373" s="148" t="e">
        <f t="shared" si="43"/>
        <v>#VALUE!</v>
      </c>
      <c r="G373" s="148" t="str">
        <f t="shared" si="44"/>
        <v/>
      </c>
      <c r="H373" s="148" t="str">
        <f t="shared" si="47"/>
        <v/>
      </c>
      <c r="I373" s="148" t="e">
        <f t="shared" si="45"/>
        <v>#VALUE!</v>
      </c>
      <c r="J373" s="148">
        <f>SUM($H$18:$H373)</f>
        <v>0</v>
      </c>
    </row>
    <row r="374" spans="1:10" x14ac:dyDescent="0.2">
      <c r="A374" s="151" t="str">
        <f>IF(Values_Entered,A373+1,"")</f>
        <v/>
      </c>
      <c r="B374" s="150" t="str">
        <f t="shared" si="40"/>
        <v/>
      </c>
      <c r="C374" s="148" t="str">
        <f t="shared" si="46"/>
        <v/>
      </c>
      <c r="D374" s="148" t="str">
        <f t="shared" si="41"/>
        <v/>
      </c>
      <c r="E374" s="149" t="e">
        <f t="shared" si="42"/>
        <v>#VALUE!</v>
      </c>
      <c r="F374" s="148" t="e">
        <f t="shared" si="43"/>
        <v>#VALUE!</v>
      </c>
      <c r="G374" s="148" t="str">
        <f t="shared" si="44"/>
        <v/>
      </c>
      <c r="H374" s="148" t="str">
        <f t="shared" si="47"/>
        <v/>
      </c>
      <c r="I374" s="148" t="e">
        <f t="shared" si="45"/>
        <v>#VALUE!</v>
      </c>
      <c r="J374" s="148">
        <f>SUM($H$18:$H374)</f>
        <v>0</v>
      </c>
    </row>
    <row r="375" spans="1:10" x14ac:dyDescent="0.2">
      <c r="A375" s="151" t="str">
        <f>IF(Values_Entered,A374+1,"")</f>
        <v/>
      </c>
      <c r="B375" s="150" t="str">
        <f t="shared" si="40"/>
        <v/>
      </c>
      <c r="C375" s="148" t="str">
        <f t="shared" si="46"/>
        <v/>
      </c>
      <c r="D375" s="148" t="str">
        <f t="shared" si="41"/>
        <v/>
      </c>
      <c r="E375" s="149" t="e">
        <f t="shared" si="42"/>
        <v>#VALUE!</v>
      </c>
      <c r="F375" s="148" t="e">
        <f t="shared" si="43"/>
        <v>#VALUE!</v>
      </c>
      <c r="G375" s="148" t="str">
        <f t="shared" si="44"/>
        <v/>
      </c>
      <c r="H375" s="148" t="str">
        <f t="shared" si="47"/>
        <v/>
      </c>
      <c r="I375" s="148" t="e">
        <f t="shared" si="45"/>
        <v>#VALUE!</v>
      </c>
      <c r="J375" s="148">
        <f>SUM($H$18:$H375)</f>
        <v>0</v>
      </c>
    </row>
    <row r="376" spans="1:10" x14ac:dyDescent="0.2">
      <c r="A376" s="151" t="str">
        <f>IF(Values_Entered,A375+1,"")</f>
        <v/>
      </c>
      <c r="B376" s="150" t="str">
        <f t="shared" si="40"/>
        <v/>
      </c>
      <c r="C376" s="148" t="str">
        <f t="shared" si="46"/>
        <v/>
      </c>
      <c r="D376" s="148" t="str">
        <f t="shared" si="41"/>
        <v/>
      </c>
      <c r="E376" s="149" t="e">
        <f t="shared" si="42"/>
        <v>#VALUE!</v>
      </c>
      <c r="F376" s="148" t="e">
        <f t="shared" si="43"/>
        <v>#VALUE!</v>
      </c>
      <c r="G376" s="148" t="str">
        <f t="shared" si="44"/>
        <v/>
      </c>
      <c r="H376" s="148" t="str">
        <f t="shared" si="47"/>
        <v/>
      </c>
      <c r="I376" s="148" t="e">
        <f t="shared" si="45"/>
        <v>#VALUE!</v>
      </c>
      <c r="J376" s="148">
        <f>SUM($H$18:$H376)</f>
        <v>0</v>
      </c>
    </row>
    <row r="377" spans="1:10" x14ac:dyDescent="0.2">
      <c r="A377" s="151" t="str">
        <f>IF(Values_Entered,A376+1,"")</f>
        <v/>
      </c>
      <c r="B377" s="150" t="str">
        <f t="shared" si="40"/>
        <v/>
      </c>
      <c r="C377" s="148" t="str">
        <f t="shared" si="46"/>
        <v/>
      </c>
      <c r="D377" s="148" t="str">
        <f t="shared" si="41"/>
        <v/>
      </c>
      <c r="E377" s="149" t="e">
        <f t="shared" si="42"/>
        <v>#VALUE!</v>
      </c>
      <c r="F377" s="148" t="e">
        <f t="shared" si="43"/>
        <v>#VALUE!</v>
      </c>
      <c r="G377" s="148" t="str">
        <f t="shared" si="44"/>
        <v/>
      </c>
      <c r="H377" s="148" t="str">
        <f t="shared" si="47"/>
        <v/>
      </c>
      <c r="I377" s="148" t="e">
        <f t="shared" si="45"/>
        <v>#VALUE!</v>
      </c>
      <c r="J377" s="148">
        <f>SUM($H$18:$H377)</f>
        <v>0</v>
      </c>
    </row>
    <row r="378" spans="1:10" x14ac:dyDescent="0.2">
      <c r="A378" s="151" t="str">
        <f>IF(Values_Entered,A377+1,"")</f>
        <v/>
      </c>
      <c r="B378" s="150" t="str">
        <f t="shared" si="40"/>
        <v/>
      </c>
      <c r="C378" s="148" t="str">
        <f t="shared" si="46"/>
        <v/>
      </c>
      <c r="D378" s="148" t="str">
        <f t="shared" si="41"/>
        <v/>
      </c>
      <c r="E378" s="149" t="e">
        <f t="shared" si="42"/>
        <v>#VALUE!</v>
      </c>
      <c r="F378" s="148" t="e">
        <f t="shared" si="43"/>
        <v>#VALUE!</v>
      </c>
      <c r="G378" s="148" t="str">
        <f t="shared" si="44"/>
        <v/>
      </c>
      <c r="H378" s="148" t="str">
        <f t="shared" si="47"/>
        <v/>
      </c>
      <c r="I378" s="148" t="e">
        <f t="shared" si="45"/>
        <v>#VALUE!</v>
      </c>
      <c r="J378" s="148">
        <f>SUM($H$18:$H378)</f>
        <v>0</v>
      </c>
    </row>
    <row r="379" spans="1:10" x14ac:dyDescent="0.2">
      <c r="A379" s="151" t="str">
        <f>IF(Values_Entered,A378+1,"")</f>
        <v/>
      </c>
      <c r="B379" s="150" t="str">
        <f t="shared" si="40"/>
        <v/>
      </c>
      <c r="C379" s="148" t="str">
        <f t="shared" si="46"/>
        <v/>
      </c>
      <c r="D379" s="148" t="str">
        <f t="shared" si="41"/>
        <v/>
      </c>
      <c r="E379" s="149" t="e">
        <f t="shared" si="42"/>
        <v>#VALUE!</v>
      </c>
      <c r="F379" s="148" t="e">
        <f t="shared" si="43"/>
        <v>#VALUE!</v>
      </c>
      <c r="G379" s="148" t="str">
        <f t="shared" si="44"/>
        <v/>
      </c>
      <c r="H379" s="148" t="str">
        <f t="shared" si="47"/>
        <v/>
      </c>
      <c r="I379" s="148" t="e">
        <f t="shared" si="45"/>
        <v>#VALUE!</v>
      </c>
      <c r="J379" s="148">
        <f>SUM($H$18:$H379)</f>
        <v>0</v>
      </c>
    </row>
    <row r="380" spans="1:10" x14ac:dyDescent="0.2">
      <c r="A380" s="151" t="str">
        <f>IF(Values_Entered,A379+1,"")</f>
        <v/>
      </c>
      <c r="B380" s="150" t="str">
        <f t="shared" si="40"/>
        <v/>
      </c>
      <c r="C380" s="148" t="str">
        <f t="shared" si="46"/>
        <v/>
      </c>
      <c r="D380" s="148" t="str">
        <f t="shared" si="41"/>
        <v/>
      </c>
      <c r="E380" s="149" t="e">
        <f t="shared" si="42"/>
        <v>#VALUE!</v>
      </c>
      <c r="F380" s="148" t="e">
        <f t="shared" si="43"/>
        <v>#VALUE!</v>
      </c>
      <c r="G380" s="148" t="str">
        <f t="shared" si="44"/>
        <v/>
      </c>
      <c r="H380" s="148" t="str">
        <f t="shared" si="47"/>
        <v/>
      </c>
      <c r="I380" s="148" t="e">
        <f t="shared" si="45"/>
        <v>#VALUE!</v>
      </c>
      <c r="J380" s="148">
        <f>SUM($H$18:$H380)</f>
        <v>0</v>
      </c>
    </row>
    <row r="381" spans="1:10" x14ac:dyDescent="0.2">
      <c r="A381" s="151" t="str">
        <f>IF(Values_Entered,A380+1,"")</f>
        <v/>
      </c>
      <c r="B381" s="150" t="str">
        <f t="shared" si="40"/>
        <v/>
      </c>
      <c r="C381" s="148" t="str">
        <f t="shared" si="46"/>
        <v/>
      </c>
      <c r="D381" s="148" t="str">
        <f t="shared" si="41"/>
        <v/>
      </c>
      <c r="E381" s="149" t="e">
        <f t="shared" si="42"/>
        <v>#VALUE!</v>
      </c>
      <c r="F381" s="148" t="e">
        <f t="shared" si="43"/>
        <v>#VALUE!</v>
      </c>
      <c r="G381" s="148" t="str">
        <f t="shared" si="44"/>
        <v/>
      </c>
      <c r="H381" s="148" t="str">
        <f t="shared" si="47"/>
        <v/>
      </c>
      <c r="I381" s="148" t="e">
        <f t="shared" si="45"/>
        <v>#VALUE!</v>
      </c>
      <c r="J381" s="148">
        <f>SUM($H$18:$H381)</f>
        <v>0</v>
      </c>
    </row>
    <row r="382" spans="1:10" x14ac:dyDescent="0.2">
      <c r="A382" s="151" t="str">
        <f>IF(Values_Entered,A381+1,"")</f>
        <v/>
      </c>
      <c r="B382" s="150" t="str">
        <f t="shared" si="40"/>
        <v/>
      </c>
      <c r="C382" s="148" t="str">
        <f t="shared" si="46"/>
        <v/>
      </c>
      <c r="D382" s="148" t="str">
        <f t="shared" si="41"/>
        <v/>
      </c>
      <c r="E382" s="149" t="e">
        <f t="shared" si="42"/>
        <v>#VALUE!</v>
      </c>
      <c r="F382" s="148" t="e">
        <f t="shared" si="43"/>
        <v>#VALUE!</v>
      </c>
      <c r="G382" s="148" t="str">
        <f t="shared" si="44"/>
        <v/>
      </c>
      <c r="H382" s="148" t="str">
        <f t="shared" si="47"/>
        <v/>
      </c>
      <c r="I382" s="148" t="e">
        <f t="shared" si="45"/>
        <v>#VALUE!</v>
      </c>
      <c r="J382" s="148">
        <f>SUM($H$18:$H382)</f>
        <v>0</v>
      </c>
    </row>
    <row r="383" spans="1:10" x14ac:dyDescent="0.2">
      <c r="A383" s="151" t="str">
        <f>IF(Values_Entered,A382+1,"")</f>
        <v/>
      </c>
      <c r="B383" s="150" t="str">
        <f t="shared" si="40"/>
        <v/>
      </c>
      <c r="C383" s="148" t="str">
        <f t="shared" si="46"/>
        <v/>
      </c>
      <c r="D383" s="148" t="str">
        <f t="shared" si="41"/>
        <v/>
      </c>
      <c r="E383" s="149" t="e">
        <f t="shared" si="42"/>
        <v>#VALUE!</v>
      </c>
      <c r="F383" s="148" t="e">
        <f t="shared" si="43"/>
        <v>#VALUE!</v>
      </c>
      <c r="G383" s="148" t="str">
        <f t="shared" si="44"/>
        <v/>
      </c>
      <c r="H383" s="148" t="str">
        <f t="shared" si="47"/>
        <v/>
      </c>
      <c r="I383" s="148" t="e">
        <f t="shared" si="45"/>
        <v>#VALUE!</v>
      </c>
      <c r="J383" s="148">
        <f>SUM($H$18:$H383)</f>
        <v>0</v>
      </c>
    </row>
    <row r="384" spans="1:10" x14ac:dyDescent="0.2">
      <c r="A384" s="151" t="str">
        <f>IF(Values_Entered,A383+1,"")</f>
        <v/>
      </c>
      <c r="B384" s="150" t="str">
        <f t="shared" si="40"/>
        <v/>
      </c>
      <c r="C384" s="148" t="str">
        <f t="shared" si="46"/>
        <v/>
      </c>
      <c r="D384" s="148" t="str">
        <f t="shared" si="41"/>
        <v/>
      </c>
      <c r="E384" s="149" t="e">
        <f t="shared" si="42"/>
        <v>#VALUE!</v>
      </c>
      <c r="F384" s="148" t="e">
        <f t="shared" si="43"/>
        <v>#VALUE!</v>
      </c>
      <c r="G384" s="148" t="str">
        <f t="shared" si="44"/>
        <v/>
      </c>
      <c r="H384" s="148" t="str">
        <f t="shared" si="47"/>
        <v/>
      </c>
      <c r="I384" s="148" t="e">
        <f t="shared" si="45"/>
        <v>#VALUE!</v>
      </c>
      <c r="J384" s="148">
        <f>SUM($H$18:$H384)</f>
        <v>0</v>
      </c>
    </row>
    <row r="385" spans="1:10" x14ac:dyDescent="0.2">
      <c r="A385" s="151" t="str">
        <f>IF(Values_Entered,A384+1,"")</f>
        <v/>
      </c>
      <c r="B385" s="150" t="str">
        <f t="shared" si="40"/>
        <v/>
      </c>
      <c r="C385" s="148" t="str">
        <f t="shared" si="46"/>
        <v/>
      </c>
      <c r="D385" s="148" t="str">
        <f t="shared" si="41"/>
        <v/>
      </c>
      <c r="E385" s="149" t="e">
        <f t="shared" si="42"/>
        <v>#VALUE!</v>
      </c>
      <c r="F385" s="148" t="e">
        <f t="shared" si="43"/>
        <v>#VALUE!</v>
      </c>
      <c r="G385" s="148" t="str">
        <f t="shared" si="44"/>
        <v/>
      </c>
      <c r="H385" s="148" t="str">
        <f t="shared" si="47"/>
        <v/>
      </c>
      <c r="I385" s="148" t="e">
        <f t="shared" si="45"/>
        <v>#VALUE!</v>
      </c>
      <c r="J385" s="148">
        <f>SUM($H$18:$H385)</f>
        <v>0</v>
      </c>
    </row>
    <row r="386" spans="1:10" x14ac:dyDescent="0.2">
      <c r="A386" s="151" t="str">
        <f>IF(Values_Entered,A385+1,"")</f>
        <v/>
      </c>
      <c r="B386" s="150" t="str">
        <f t="shared" si="40"/>
        <v/>
      </c>
      <c r="C386" s="148" t="str">
        <f t="shared" si="46"/>
        <v/>
      </c>
      <c r="D386" s="148" t="str">
        <f t="shared" si="41"/>
        <v/>
      </c>
      <c r="E386" s="149" t="e">
        <f t="shared" si="42"/>
        <v>#VALUE!</v>
      </c>
      <c r="F386" s="148" t="e">
        <f t="shared" si="43"/>
        <v>#VALUE!</v>
      </c>
      <c r="G386" s="148" t="str">
        <f t="shared" si="44"/>
        <v/>
      </c>
      <c r="H386" s="148" t="str">
        <f t="shared" si="47"/>
        <v/>
      </c>
      <c r="I386" s="148" t="e">
        <f t="shared" si="45"/>
        <v>#VALUE!</v>
      </c>
      <c r="J386" s="148">
        <f>SUM($H$18:$H386)</f>
        <v>0</v>
      </c>
    </row>
    <row r="387" spans="1:10" x14ac:dyDescent="0.2">
      <c r="A387" s="151" t="str">
        <f>IF(Values_Entered,A386+1,"")</f>
        <v/>
      </c>
      <c r="B387" s="150" t="str">
        <f t="shared" si="40"/>
        <v/>
      </c>
      <c r="C387" s="148" t="str">
        <f t="shared" si="46"/>
        <v/>
      </c>
      <c r="D387" s="148" t="str">
        <f t="shared" si="41"/>
        <v/>
      </c>
      <c r="E387" s="149" t="e">
        <f t="shared" si="42"/>
        <v>#VALUE!</v>
      </c>
      <c r="F387" s="148" t="e">
        <f t="shared" si="43"/>
        <v>#VALUE!</v>
      </c>
      <c r="G387" s="148" t="str">
        <f t="shared" si="44"/>
        <v/>
      </c>
      <c r="H387" s="148" t="str">
        <f t="shared" si="47"/>
        <v/>
      </c>
      <c r="I387" s="148" t="e">
        <f t="shared" si="45"/>
        <v>#VALUE!</v>
      </c>
      <c r="J387" s="148">
        <f>SUM($H$18:$H387)</f>
        <v>0</v>
      </c>
    </row>
    <row r="388" spans="1:10" x14ac:dyDescent="0.2">
      <c r="A388" s="151" t="str">
        <f>IF(Values_Entered,A387+1,"")</f>
        <v/>
      </c>
      <c r="B388" s="150" t="str">
        <f t="shared" si="40"/>
        <v/>
      </c>
      <c r="C388" s="148" t="str">
        <f t="shared" si="46"/>
        <v/>
      </c>
      <c r="D388" s="148" t="str">
        <f t="shared" si="41"/>
        <v/>
      </c>
      <c r="E388" s="149" t="e">
        <f t="shared" si="42"/>
        <v>#VALUE!</v>
      </c>
      <c r="F388" s="148" t="e">
        <f t="shared" si="43"/>
        <v>#VALUE!</v>
      </c>
      <c r="G388" s="148" t="str">
        <f t="shared" si="44"/>
        <v/>
      </c>
      <c r="H388" s="148" t="str">
        <f t="shared" si="47"/>
        <v/>
      </c>
      <c r="I388" s="148" t="e">
        <f t="shared" si="45"/>
        <v>#VALUE!</v>
      </c>
      <c r="J388" s="148">
        <f>SUM($H$18:$H388)</f>
        <v>0</v>
      </c>
    </row>
    <row r="389" spans="1:10" x14ac:dyDescent="0.2">
      <c r="A389" s="151" t="str">
        <f>IF(Values_Entered,A388+1,"")</f>
        <v/>
      </c>
      <c r="B389" s="150" t="str">
        <f t="shared" si="40"/>
        <v/>
      </c>
      <c r="C389" s="148" t="str">
        <f t="shared" si="46"/>
        <v/>
      </c>
      <c r="D389" s="148" t="str">
        <f t="shared" si="41"/>
        <v/>
      </c>
      <c r="E389" s="149" t="e">
        <f t="shared" si="42"/>
        <v>#VALUE!</v>
      </c>
      <c r="F389" s="148" t="e">
        <f t="shared" si="43"/>
        <v>#VALUE!</v>
      </c>
      <c r="G389" s="148" t="str">
        <f t="shared" si="44"/>
        <v/>
      </c>
      <c r="H389" s="148" t="str">
        <f t="shared" si="47"/>
        <v/>
      </c>
      <c r="I389" s="148" t="e">
        <f t="shared" si="45"/>
        <v>#VALUE!</v>
      </c>
      <c r="J389" s="148">
        <f>SUM($H$18:$H389)</f>
        <v>0</v>
      </c>
    </row>
    <row r="390" spans="1:10" x14ac:dyDescent="0.2">
      <c r="A390" s="151" t="str">
        <f>IF(Values_Entered,A389+1,"")</f>
        <v/>
      </c>
      <c r="B390" s="150" t="str">
        <f t="shared" si="40"/>
        <v/>
      </c>
      <c r="C390" s="148" t="str">
        <f t="shared" si="46"/>
        <v/>
      </c>
      <c r="D390" s="148" t="str">
        <f t="shared" si="41"/>
        <v/>
      </c>
      <c r="E390" s="149" t="e">
        <f t="shared" si="42"/>
        <v>#VALUE!</v>
      </c>
      <c r="F390" s="148" t="e">
        <f t="shared" si="43"/>
        <v>#VALUE!</v>
      </c>
      <c r="G390" s="148" t="str">
        <f t="shared" si="44"/>
        <v/>
      </c>
      <c r="H390" s="148" t="str">
        <f t="shared" si="47"/>
        <v/>
      </c>
      <c r="I390" s="148" t="e">
        <f t="shared" si="45"/>
        <v>#VALUE!</v>
      </c>
      <c r="J390" s="148">
        <f>SUM($H$18:$H390)</f>
        <v>0</v>
      </c>
    </row>
    <row r="391" spans="1:10" x14ac:dyDescent="0.2">
      <c r="A391" s="151" t="str">
        <f>IF(Values_Entered,A390+1,"")</f>
        <v/>
      </c>
      <c r="B391" s="150" t="str">
        <f t="shared" si="40"/>
        <v/>
      </c>
      <c r="C391" s="148" t="str">
        <f t="shared" si="46"/>
        <v/>
      </c>
      <c r="D391" s="148" t="str">
        <f t="shared" si="41"/>
        <v/>
      </c>
      <c r="E391" s="149" t="e">
        <f t="shared" si="42"/>
        <v>#VALUE!</v>
      </c>
      <c r="F391" s="148" t="e">
        <f t="shared" si="43"/>
        <v>#VALUE!</v>
      </c>
      <c r="G391" s="148" t="str">
        <f t="shared" si="44"/>
        <v/>
      </c>
      <c r="H391" s="148" t="str">
        <f t="shared" si="47"/>
        <v/>
      </c>
      <c r="I391" s="148" t="e">
        <f t="shared" si="45"/>
        <v>#VALUE!</v>
      </c>
      <c r="J391" s="148">
        <f>SUM($H$18:$H391)</f>
        <v>0</v>
      </c>
    </row>
    <row r="392" spans="1:10" x14ac:dyDescent="0.2">
      <c r="A392" s="151" t="str">
        <f>IF(Values_Entered,A391+1,"")</f>
        <v/>
      </c>
      <c r="B392" s="150" t="str">
        <f t="shared" si="40"/>
        <v/>
      </c>
      <c r="C392" s="148" t="str">
        <f t="shared" si="46"/>
        <v/>
      </c>
      <c r="D392" s="148" t="str">
        <f t="shared" si="41"/>
        <v/>
      </c>
      <c r="E392" s="149" t="e">
        <f t="shared" si="42"/>
        <v>#VALUE!</v>
      </c>
      <c r="F392" s="148" t="e">
        <f t="shared" si="43"/>
        <v>#VALUE!</v>
      </c>
      <c r="G392" s="148" t="str">
        <f t="shared" si="44"/>
        <v/>
      </c>
      <c r="H392" s="148" t="str">
        <f t="shared" si="47"/>
        <v/>
      </c>
      <c r="I392" s="148" t="e">
        <f t="shared" si="45"/>
        <v>#VALUE!</v>
      </c>
      <c r="J392" s="148">
        <f>SUM($H$18:$H392)</f>
        <v>0</v>
      </c>
    </row>
    <row r="393" spans="1:10" x14ac:dyDescent="0.2">
      <c r="A393" s="151" t="str">
        <f>IF(Values_Entered,A392+1,"")</f>
        <v/>
      </c>
      <c r="B393" s="150" t="str">
        <f t="shared" si="40"/>
        <v/>
      </c>
      <c r="C393" s="148" t="str">
        <f t="shared" si="46"/>
        <v/>
      </c>
      <c r="D393" s="148" t="str">
        <f t="shared" si="41"/>
        <v/>
      </c>
      <c r="E393" s="149" t="e">
        <f t="shared" si="42"/>
        <v>#VALUE!</v>
      </c>
      <c r="F393" s="148" t="e">
        <f t="shared" si="43"/>
        <v>#VALUE!</v>
      </c>
      <c r="G393" s="148" t="str">
        <f t="shared" si="44"/>
        <v/>
      </c>
      <c r="H393" s="148" t="str">
        <f t="shared" si="47"/>
        <v/>
      </c>
      <c r="I393" s="148" t="e">
        <f t="shared" si="45"/>
        <v>#VALUE!</v>
      </c>
      <c r="J393" s="148">
        <f>SUM($H$18:$H393)</f>
        <v>0</v>
      </c>
    </row>
    <row r="394" spans="1:10" x14ac:dyDescent="0.2">
      <c r="A394" s="151" t="str">
        <f>IF(Values_Entered,A393+1,"")</f>
        <v/>
      </c>
      <c r="B394" s="150" t="str">
        <f t="shared" si="40"/>
        <v/>
      </c>
      <c r="C394" s="148" t="str">
        <f t="shared" si="46"/>
        <v/>
      </c>
      <c r="D394" s="148" t="str">
        <f t="shared" si="41"/>
        <v/>
      </c>
      <c r="E394" s="149" t="e">
        <f t="shared" si="42"/>
        <v>#VALUE!</v>
      </c>
      <c r="F394" s="148" t="e">
        <f t="shared" si="43"/>
        <v>#VALUE!</v>
      </c>
      <c r="G394" s="148" t="str">
        <f t="shared" si="44"/>
        <v/>
      </c>
      <c r="H394" s="148" t="str">
        <f t="shared" si="47"/>
        <v/>
      </c>
      <c r="I394" s="148" t="e">
        <f t="shared" si="45"/>
        <v>#VALUE!</v>
      </c>
      <c r="J394" s="148">
        <f>SUM($H$18:$H394)</f>
        <v>0</v>
      </c>
    </row>
    <row r="395" spans="1:10" x14ac:dyDescent="0.2">
      <c r="A395" s="151" t="str">
        <f>IF(Values_Entered,A394+1,"")</f>
        <v/>
      </c>
      <c r="B395" s="150" t="str">
        <f t="shared" si="40"/>
        <v/>
      </c>
      <c r="C395" s="148" t="str">
        <f t="shared" si="46"/>
        <v/>
      </c>
      <c r="D395" s="148" t="str">
        <f t="shared" si="41"/>
        <v/>
      </c>
      <c r="E395" s="149" t="e">
        <f t="shared" si="42"/>
        <v>#VALUE!</v>
      </c>
      <c r="F395" s="148" t="e">
        <f t="shared" si="43"/>
        <v>#VALUE!</v>
      </c>
      <c r="G395" s="148" t="str">
        <f t="shared" si="44"/>
        <v/>
      </c>
      <c r="H395" s="148" t="str">
        <f t="shared" si="47"/>
        <v/>
      </c>
      <c r="I395" s="148" t="e">
        <f t="shared" si="45"/>
        <v>#VALUE!</v>
      </c>
      <c r="J395" s="148">
        <f>SUM($H$18:$H395)</f>
        <v>0</v>
      </c>
    </row>
    <row r="396" spans="1:10" x14ac:dyDescent="0.2">
      <c r="A396" s="151" t="str">
        <f>IF(Values_Entered,A395+1,"")</f>
        <v/>
      </c>
      <c r="B396" s="150" t="str">
        <f t="shared" si="40"/>
        <v/>
      </c>
      <c r="C396" s="148" t="str">
        <f t="shared" si="46"/>
        <v/>
      </c>
      <c r="D396" s="148" t="str">
        <f t="shared" si="41"/>
        <v/>
      </c>
      <c r="E396" s="149" t="e">
        <f t="shared" si="42"/>
        <v>#VALUE!</v>
      </c>
      <c r="F396" s="148" t="e">
        <f t="shared" si="43"/>
        <v>#VALUE!</v>
      </c>
      <c r="G396" s="148" t="str">
        <f t="shared" si="44"/>
        <v/>
      </c>
      <c r="H396" s="148" t="str">
        <f t="shared" si="47"/>
        <v/>
      </c>
      <c r="I396" s="148" t="e">
        <f t="shared" si="45"/>
        <v>#VALUE!</v>
      </c>
      <c r="J396" s="148">
        <f>SUM($H$18:$H396)</f>
        <v>0</v>
      </c>
    </row>
    <row r="397" spans="1:10" x14ac:dyDescent="0.2">
      <c r="A397" s="151" t="str">
        <f>IF(Values_Entered,A396+1,"")</f>
        <v/>
      </c>
      <c r="B397" s="150" t="str">
        <f t="shared" si="40"/>
        <v/>
      </c>
      <c r="C397" s="148" t="str">
        <f t="shared" si="46"/>
        <v/>
      </c>
      <c r="D397" s="148" t="str">
        <f t="shared" si="41"/>
        <v/>
      </c>
      <c r="E397" s="149" t="e">
        <f t="shared" si="42"/>
        <v>#VALUE!</v>
      </c>
      <c r="F397" s="148" t="e">
        <f t="shared" si="43"/>
        <v>#VALUE!</v>
      </c>
      <c r="G397" s="148" t="str">
        <f t="shared" si="44"/>
        <v/>
      </c>
      <c r="H397" s="148" t="str">
        <f t="shared" si="47"/>
        <v/>
      </c>
      <c r="I397" s="148" t="e">
        <f t="shared" si="45"/>
        <v>#VALUE!</v>
      </c>
      <c r="J397" s="148">
        <f>SUM($H$18:$H397)</f>
        <v>0</v>
      </c>
    </row>
    <row r="398" spans="1:10" x14ac:dyDescent="0.2">
      <c r="A398" s="151" t="str">
        <f>IF(Values_Entered,A397+1,"")</f>
        <v/>
      </c>
      <c r="B398" s="150" t="str">
        <f t="shared" si="40"/>
        <v/>
      </c>
      <c r="C398" s="148" t="str">
        <f t="shared" si="46"/>
        <v/>
      </c>
      <c r="D398" s="148" t="str">
        <f t="shared" si="41"/>
        <v/>
      </c>
      <c r="E398" s="149" t="e">
        <f t="shared" si="42"/>
        <v>#VALUE!</v>
      </c>
      <c r="F398" s="148" t="e">
        <f t="shared" si="43"/>
        <v>#VALUE!</v>
      </c>
      <c r="G398" s="148" t="str">
        <f t="shared" si="44"/>
        <v/>
      </c>
      <c r="H398" s="148" t="str">
        <f t="shared" si="47"/>
        <v/>
      </c>
      <c r="I398" s="148" t="e">
        <f t="shared" si="45"/>
        <v>#VALUE!</v>
      </c>
      <c r="J398" s="148">
        <f>SUM($H$18:$H398)</f>
        <v>0</v>
      </c>
    </row>
    <row r="399" spans="1:10" x14ac:dyDescent="0.2">
      <c r="A399" s="151" t="str">
        <f>IF(Values_Entered,A398+1,"")</f>
        <v/>
      </c>
      <c r="B399" s="150" t="str">
        <f t="shared" si="40"/>
        <v/>
      </c>
      <c r="C399" s="148" t="str">
        <f t="shared" si="46"/>
        <v/>
      </c>
      <c r="D399" s="148" t="str">
        <f t="shared" si="41"/>
        <v/>
      </c>
      <c r="E399" s="149" t="e">
        <f t="shared" si="42"/>
        <v>#VALUE!</v>
      </c>
      <c r="F399" s="148" t="e">
        <f t="shared" si="43"/>
        <v>#VALUE!</v>
      </c>
      <c r="G399" s="148" t="str">
        <f t="shared" si="44"/>
        <v/>
      </c>
      <c r="H399" s="148" t="str">
        <f t="shared" si="47"/>
        <v/>
      </c>
      <c r="I399" s="148" t="e">
        <f t="shared" si="45"/>
        <v>#VALUE!</v>
      </c>
      <c r="J399" s="148">
        <f>SUM($H$18:$H399)</f>
        <v>0</v>
      </c>
    </row>
    <row r="400" spans="1:10" x14ac:dyDescent="0.2">
      <c r="A400" s="151" t="str">
        <f>IF(Values_Entered,A399+1,"")</f>
        <v/>
      </c>
      <c r="B400" s="150" t="str">
        <f t="shared" si="40"/>
        <v/>
      </c>
      <c r="C400" s="148" t="str">
        <f t="shared" si="46"/>
        <v/>
      </c>
      <c r="D400" s="148" t="str">
        <f t="shared" si="41"/>
        <v/>
      </c>
      <c r="E400" s="149" t="e">
        <f t="shared" si="42"/>
        <v>#VALUE!</v>
      </c>
      <c r="F400" s="148" t="e">
        <f t="shared" si="43"/>
        <v>#VALUE!</v>
      </c>
      <c r="G400" s="148" t="str">
        <f t="shared" si="44"/>
        <v/>
      </c>
      <c r="H400" s="148" t="str">
        <f t="shared" si="47"/>
        <v/>
      </c>
      <c r="I400" s="148" t="e">
        <f t="shared" si="45"/>
        <v>#VALUE!</v>
      </c>
      <c r="J400" s="148">
        <f>SUM($H$18:$H400)</f>
        <v>0</v>
      </c>
    </row>
    <row r="401" spans="1:10" x14ac:dyDescent="0.2">
      <c r="A401" s="151" t="str">
        <f>IF(Values_Entered,A400+1,"")</f>
        <v/>
      </c>
      <c r="B401" s="150" t="str">
        <f t="shared" si="40"/>
        <v/>
      </c>
      <c r="C401" s="148" t="str">
        <f t="shared" si="46"/>
        <v/>
      </c>
      <c r="D401" s="148" t="str">
        <f t="shared" si="41"/>
        <v/>
      </c>
      <c r="E401" s="149" t="e">
        <f t="shared" si="42"/>
        <v>#VALUE!</v>
      </c>
      <c r="F401" s="148" t="e">
        <f t="shared" si="43"/>
        <v>#VALUE!</v>
      </c>
      <c r="G401" s="148" t="str">
        <f t="shared" si="44"/>
        <v/>
      </c>
      <c r="H401" s="148" t="str">
        <f t="shared" si="47"/>
        <v/>
      </c>
      <c r="I401" s="148" t="e">
        <f t="shared" si="45"/>
        <v>#VALUE!</v>
      </c>
      <c r="J401" s="148">
        <f>SUM($H$18:$H401)</f>
        <v>0</v>
      </c>
    </row>
    <row r="402" spans="1:10" x14ac:dyDescent="0.2">
      <c r="A402" s="151" t="str">
        <f>IF(Values_Entered,A401+1,"")</f>
        <v/>
      </c>
      <c r="B402" s="150" t="str">
        <f t="shared" ref="B402:B465" si="48">IF(Pay_Num&lt;&gt;"",DATE(YEAR(Loan_Start),MONTH(Loan_Start)+(Pay_Num)*12/Num_Pmt_Per_Year,DAY(Loan_Start)),"")</f>
        <v/>
      </c>
      <c r="C402" s="148" t="str">
        <f t="shared" si="46"/>
        <v/>
      </c>
      <c r="D402" s="148" t="str">
        <f t="shared" ref="D402:D465" si="49">IF(Pay_Num&lt;&gt;"",Scheduled_Monthly_Payment,"")</f>
        <v/>
      </c>
      <c r="E402" s="149" t="e">
        <f t="shared" ref="E402:E465" si="50">IF(AND(Pay_Num&lt;&gt;"",Sched_Pay+Scheduled_Extra_Payments&lt;Beg_Bal),Scheduled_Extra_Payments,IF(AND(Pay_Num&lt;&gt;"",Beg_Bal-Sched_Pay&gt;0),Beg_Bal-Sched_Pay,IF(Pay_Num&lt;&gt;"",0,"")))</f>
        <v>#VALUE!</v>
      </c>
      <c r="F402" s="148" t="e">
        <f t="shared" ref="F402:F465" si="51">IF(AND(Pay_Num&lt;&gt;"",Sched_Pay+Extra_Pay&lt;Beg_Bal),Sched_Pay+Extra_Pay,IF(Pay_Num&lt;&gt;"",Beg_Bal,""))</f>
        <v>#VALUE!</v>
      </c>
      <c r="G402" s="148" t="str">
        <f t="shared" ref="G402:G465" si="52">IF(Pay_Num&lt;&gt;"",Total_Pay-Int,"")</f>
        <v/>
      </c>
      <c r="H402" s="148" t="str">
        <f t="shared" si="47"/>
        <v/>
      </c>
      <c r="I402" s="148" t="e">
        <f t="shared" ref="I402:I465" si="53">IF(AND(Pay_Num&lt;&gt;"",Sched_Pay+Extra_Pay&lt;Beg_Bal),Beg_Bal-Princ,IF(Pay_Num&lt;&gt;"",0,""))</f>
        <v>#VALUE!</v>
      </c>
      <c r="J402" s="148">
        <f>SUM($H$18:$H402)</f>
        <v>0</v>
      </c>
    </row>
    <row r="403" spans="1:10" x14ac:dyDescent="0.2">
      <c r="A403" s="151" t="str">
        <f>IF(Values_Entered,A402+1,"")</f>
        <v/>
      </c>
      <c r="B403" s="150" t="str">
        <f t="shared" si="48"/>
        <v/>
      </c>
      <c r="C403" s="148" t="str">
        <f t="shared" ref="C403:C466" si="54">IF(Pay_Num&lt;&gt;"",I402,"")</f>
        <v/>
      </c>
      <c r="D403" s="148" t="str">
        <f t="shared" si="49"/>
        <v/>
      </c>
      <c r="E403" s="149" t="e">
        <f t="shared" si="50"/>
        <v>#VALUE!</v>
      </c>
      <c r="F403" s="148" t="e">
        <f t="shared" si="51"/>
        <v>#VALUE!</v>
      </c>
      <c r="G403" s="148" t="str">
        <f t="shared" si="52"/>
        <v/>
      </c>
      <c r="H403" s="148" t="str">
        <f t="shared" ref="H403:H466" si="55">IF(Pay_Num&lt;&gt;"",Beg_Bal*Interest_Rate/Num_Pmt_Per_Year,"")</f>
        <v/>
      </c>
      <c r="I403" s="148" t="e">
        <f t="shared" si="53"/>
        <v>#VALUE!</v>
      </c>
      <c r="J403" s="148">
        <f>SUM($H$18:$H403)</f>
        <v>0</v>
      </c>
    </row>
    <row r="404" spans="1:10" x14ac:dyDescent="0.2">
      <c r="A404" s="151" t="str">
        <f>IF(Values_Entered,A403+1,"")</f>
        <v/>
      </c>
      <c r="B404" s="150" t="str">
        <f t="shared" si="48"/>
        <v/>
      </c>
      <c r="C404" s="148" t="str">
        <f t="shared" si="54"/>
        <v/>
      </c>
      <c r="D404" s="148" t="str">
        <f t="shared" si="49"/>
        <v/>
      </c>
      <c r="E404" s="149" t="e">
        <f t="shared" si="50"/>
        <v>#VALUE!</v>
      </c>
      <c r="F404" s="148" t="e">
        <f t="shared" si="51"/>
        <v>#VALUE!</v>
      </c>
      <c r="G404" s="148" t="str">
        <f t="shared" si="52"/>
        <v/>
      </c>
      <c r="H404" s="148" t="str">
        <f t="shared" si="55"/>
        <v/>
      </c>
      <c r="I404" s="148" t="e">
        <f t="shared" si="53"/>
        <v>#VALUE!</v>
      </c>
      <c r="J404" s="148">
        <f>SUM($H$18:$H404)</f>
        <v>0</v>
      </c>
    </row>
    <row r="405" spans="1:10" x14ac:dyDescent="0.2">
      <c r="A405" s="151" t="str">
        <f>IF(Values_Entered,A404+1,"")</f>
        <v/>
      </c>
      <c r="B405" s="150" t="str">
        <f t="shared" si="48"/>
        <v/>
      </c>
      <c r="C405" s="148" t="str">
        <f t="shared" si="54"/>
        <v/>
      </c>
      <c r="D405" s="148" t="str">
        <f t="shared" si="49"/>
        <v/>
      </c>
      <c r="E405" s="149" t="e">
        <f t="shared" si="50"/>
        <v>#VALUE!</v>
      </c>
      <c r="F405" s="148" t="e">
        <f t="shared" si="51"/>
        <v>#VALUE!</v>
      </c>
      <c r="G405" s="148" t="str">
        <f t="shared" si="52"/>
        <v/>
      </c>
      <c r="H405" s="148" t="str">
        <f t="shared" si="55"/>
        <v/>
      </c>
      <c r="I405" s="148" t="e">
        <f t="shared" si="53"/>
        <v>#VALUE!</v>
      </c>
      <c r="J405" s="148">
        <f>SUM($H$18:$H405)</f>
        <v>0</v>
      </c>
    </row>
    <row r="406" spans="1:10" x14ac:dyDescent="0.2">
      <c r="A406" s="151" t="str">
        <f>IF(Values_Entered,A405+1,"")</f>
        <v/>
      </c>
      <c r="B406" s="150" t="str">
        <f t="shared" si="48"/>
        <v/>
      </c>
      <c r="C406" s="148" t="str">
        <f t="shared" si="54"/>
        <v/>
      </c>
      <c r="D406" s="148" t="str">
        <f t="shared" si="49"/>
        <v/>
      </c>
      <c r="E406" s="149" t="e">
        <f t="shared" si="50"/>
        <v>#VALUE!</v>
      </c>
      <c r="F406" s="148" t="e">
        <f t="shared" si="51"/>
        <v>#VALUE!</v>
      </c>
      <c r="G406" s="148" t="str">
        <f t="shared" si="52"/>
        <v/>
      </c>
      <c r="H406" s="148" t="str">
        <f t="shared" si="55"/>
        <v/>
      </c>
      <c r="I406" s="148" t="e">
        <f t="shared" si="53"/>
        <v>#VALUE!</v>
      </c>
      <c r="J406" s="148">
        <f>SUM($H$18:$H406)</f>
        <v>0</v>
      </c>
    </row>
    <row r="407" spans="1:10" x14ac:dyDescent="0.2">
      <c r="A407" s="151" t="str">
        <f>IF(Values_Entered,A406+1,"")</f>
        <v/>
      </c>
      <c r="B407" s="150" t="str">
        <f t="shared" si="48"/>
        <v/>
      </c>
      <c r="C407" s="148" t="str">
        <f t="shared" si="54"/>
        <v/>
      </c>
      <c r="D407" s="148" t="str">
        <f t="shared" si="49"/>
        <v/>
      </c>
      <c r="E407" s="149" t="e">
        <f t="shared" si="50"/>
        <v>#VALUE!</v>
      </c>
      <c r="F407" s="148" t="e">
        <f t="shared" si="51"/>
        <v>#VALUE!</v>
      </c>
      <c r="G407" s="148" t="str">
        <f t="shared" si="52"/>
        <v/>
      </c>
      <c r="H407" s="148" t="str">
        <f t="shared" si="55"/>
        <v/>
      </c>
      <c r="I407" s="148" t="e">
        <f t="shared" si="53"/>
        <v>#VALUE!</v>
      </c>
      <c r="J407" s="148">
        <f>SUM($H$18:$H407)</f>
        <v>0</v>
      </c>
    </row>
    <row r="408" spans="1:10" x14ac:dyDescent="0.2">
      <c r="A408" s="151" t="str">
        <f>IF(Values_Entered,A407+1,"")</f>
        <v/>
      </c>
      <c r="B408" s="150" t="str">
        <f t="shared" si="48"/>
        <v/>
      </c>
      <c r="C408" s="148" t="str">
        <f t="shared" si="54"/>
        <v/>
      </c>
      <c r="D408" s="148" t="str">
        <f t="shared" si="49"/>
        <v/>
      </c>
      <c r="E408" s="149" t="e">
        <f t="shared" si="50"/>
        <v>#VALUE!</v>
      </c>
      <c r="F408" s="148" t="e">
        <f t="shared" si="51"/>
        <v>#VALUE!</v>
      </c>
      <c r="G408" s="148" t="str">
        <f t="shared" si="52"/>
        <v/>
      </c>
      <c r="H408" s="148" t="str">
        <f t="shared" si="55"/>
        <v/>
      </c>
      <c r="I408" s="148" t="e">
        <f t="shared" si="53"/>
        <v>#VALUE!</v>
      </c>
      <c r="J408" s="148">
        <f>SUM($H$18:$H408)</f>
        <v>0</v>
      </c>
    </row>
    <row r="409" spans="1:10" x14ac:dyDescent="0.2">
      <c r="A409" s="151" t="str">
        <f>IF(Values_Entered,A408+1,"")</f>
        <v/>
      </c>
      <c r="B409" s="150" t="str">
        <f t="shared" si="48"/>
        <v/>
      </c>
      <c r="C409" s="148" t="str">
        <f t="shared" si="54"/>
        <v/>
      </c>
      <c r="D409" s="148" t="str">
        <f t="shared" si="49"/>
        <v/>
      </c>
      <c r="E409" s="149" t="e">
        <f t="shared" si="50"/>
        <v>#VALUE!</v>
      </c>
      <c r="F409" s="148" t="e">
        <f t="shared" si="51"/>
        <v>#VALUE!</v>
      </c>
      <c r="G409" s="148" t="str">
        <f t="shared" si="52"/>
        <v/>
      </c>
      <c r="H409" s="148" t="str">
        <f t="shared" si="55"/>
        <v/>
      </c>
      <c r="I409" s="148" t="e">
        <f t="shared" si="53"/>
        <v>#VALUE!</v>
      </c>
      <c r="J409" s="148">
        <f>SUM($H$18:$H409)</f>
        <v>0</v>
      </c>
    </row>
    <row r="410" spans="1:10" x14ac:dyDescent="0.2">
      <c r="A410" s="151" t="str">
        <f>IF(Values_Entered,A409+1,"")</f>
        <v/>
      </c>
      <c r="B410" s="150" t="str">
        <f t="shared" si="48"/>
        <v/>
      </c>
      <c r="C410" s="148" t="str">
        <f t="shared" si="54"/>
        <v/>
      </c>
      <c r="D410" s="148" t="str">
        <f t="shared" si="49"/>
        <v/>
      </c>
      <c r="E410" s="149" t="e">
        <f t="shared" si="50"/>
        <v>#VALUE!</v>
      </c>
      <c r="F410" s="148" t="e">
        <f t="shared" si="51"/>
        <v>#VALUE!</v>
      </c>
      <c r="G410" s="148" t="str">
        <f t="shared" si="52"/>
        <v/>
      </c>
      <c r="H410" s="148" t="str">
        <f t="shared" si="55"/>
        <v/>
      </c>
      <c r="I410" s="148" t="e">
        <f t="shared" si="53"/>
        <v>#VALUE!</v>
      </c>
      <c r="J410" s="148">
        <f>SUM($H$18:$H410)</f>
        <v>0</v>
      </c>
    </row>
    <row r="411" spans="1:10" x14ac:dyDescent="0.2">
      <c r="A411" s="151" t="str">
        <f>IF(Values_Entered,A410+1,"")</f>
        <v/>
      </c>
      <c r="B411" s="150" t="str">
        <f t="shared" si="48"/>
        <v/>
      </c>
      <c r="C411" s="148" t="str">
        <f t="shared" si="54"/>
        <v/>
      </c>
      <c r="D411" s="148" t="str">
        <f t="shared" si="49"/>
        <v/>
      </c>
      <c r="E411" s="149" t="e">
        <f t="shared" si="50"/>
        <v>#VALUE!</v>
      </c>
      <c r="F411" s="148" t="e">
        <f t="shared" si="51"/>
        <v>#VALUE!</v>
      </c>
      <c r="G411" s="148" t="str">
        <f t="shared" si="52"/>
        <v/>
      </c>
      <c r="H411" s="148" t="str">
        <f t="shared" si="55"/>
        <v/>
      </c>
      <c r="I411" s="148" t="e">
        <f t="shared" si="53"/>
        <v>#VALUE!</v>
      </c>
      <c r="J411" s="148">
        <f>SUM($H$18:$H411)</f>
        <v>0</v>
      </c>
    </row>
    <row r="412" spans="1:10" x14ac:dyDescent="0.2">
      <c r="A412" s="151" t="str">
        <f>IF(Values_Entered,A411+1,"")</f>
        <v/>
      </c>
      <c r="B412" s="150" t="str">
        <f t="shared" si="48"/>
        <v/>
      </c>
      <c r="C412" s="148" t="str">
        <f t="shared" si="54"/>
        <v/>
      </c>
      <c r="D412" s="148" t="str">
        <f t="shared" si="49"/>
        <v/>
      </c>
      <c r="E412" s="149" t="e">
        <f t="shared" si="50"/>
        <v>#VALUE!</v>
      </c>
      <c r="F412" s="148" t="e">
        <f t="shared" si="51"/>
        <v>#VALUE!</v>
      </c>
      <c r="G412" s="148" t="str">
        <f t="shared" si="52"/>
        <v/>
      </c>
      <c r="H412" s="148" t="str">
        <f t="shared" si="55"/>
        <v/>
      </c>
      <c r="I412" s="148" t="e">
        <f t="shared" si="53"/>
        <v>#VALUE!</v>
      </c>
      <c r="J412" s="148">
        <f>SUM($H$18:$H412)</f>
        <v>0</v>
      </c>
    </row>
    <row r="413" spans="1:10" x14ac:dyDescent="0.2">
      <c r="A413" s="151" t="str">
        <f>IF(Values_Entered,A412+1,"")</f>
        <v/>
      </c>
      <c r="B413" s="150" t="str">
        <f t="shared" si="48"/>
        <v/>
      </c>
      <c r="C413" s="148" t="str">
        <f t="shared" si="54"/>
        <v/>
      </c>
      <c r="D413" s="148" t="str">
        <f t="shared" si="49"/>
        <v/>
      </c>
      <c r="E413" s="149" t="e">
        <f t="shared" si="50"/>
        <v>#VALUE!</v>
      </c>
      <c r="F413" s="148" t="e">
        <f t="shared" si="51"/>
        <v>#VALUE!</v>
      </c>
      <c r="G413" s="148" t="str">
        <f t="shared" si="52"/>
        <v/>
      </c>
      <c r="H413" s="148" t="str">
        <f t="shared" si="55"/>
        <v/>
      </c>
      <c r="I413" s="148" t="e">
        <f t="shared" si="53"/>
        <v>#VALUE!</v>
      </c>
      <c r="J413" s="148">
        <f>SUM($H$18:$H413)</f>
        <v>0</v>
      </c>
    </row>
    <row r="414" spans="1:10" x14ac:dyDescent="0.2">
      <c r="A414" s="151" t="str">
        <f>IF(Values_Entered,A413+1,"")</f>
        <v/>
      </c>
      <c r="B414" s="150" t="str">
        <f t="shared" si="48"/>
        <v/>
      </c>
      <c r="C414" s="148" t="str">
        <f t="shared" si="54"/>
        <v/>
      </c>
      <c r="D414" s="148" t="str">
        <f t="shared" si="49"/>
        <v/>
      </c>
      <c r="E414" s="149" t="e">
        <f t="shared" si="50"/>
        <v>#VALUE!</v>
      </c>
      <c r="F414" s="148" t="e">
        <f t="shared" si="51"/>
        <v>#VALUE!</v>
      </c>
      <c r="G414" s="148" t="str">
        <f t="shared" si="52"/>
        <v/>
      </c>
      <c r="H414" s="148" t="str">
        <f t="shared" si="55"/>
        <v/>
      </c>
      <c r="I414" s="148" t="e">
        <f t="shared" si="53"/>
        <v>#VALUE!</v>
      </c>
      <c r="J414" s="148">
        <f>SUM($H$18:$H414)</f>
        <v>0</v>
      </c>
    </row>
    <row r="415" spans="1:10" x14ac:dyDescent="0.2">
      <c r="A415" s="151" t="str">
        <f>IF(Values_Entered,A414+1,"")</f>
        <v/>
      </c>
      <c r="B415" s="150" t="str">
        <f t="shared" si="48"/>
        <v/>
      </c>
      <c r="C415" s="148" t="str">
        <f t="shared" si="54"/>
        <v/>
      </c>
      <c r="D415" s="148" t="str">
        <f t="shared" si="49"/>
        <v/>
      </c>
      <c r="E415" s="149" t="e">
        <f t="shared" si="50"/>
        <v>#VALUE!</v>
      </c>
      <c r="F415" s="148" t="e">
        <f t="shared" si="51"/>
        <v>#VALUE!</v>
      </c>
      <c r="G415" s="148" t="str">
        <f t="shared" si="52"/>
        <v/>
      </c>
      <c r="H415" s="148" t="str">
        <f t="shared" si="55"/>
        <v/>
      </c>
      <c r="I415" s="148" t="e">
        <f t="shared" si="53"/>
        <v>#VALUE!</v>
      </c>
      <c r="J415" s="148">
        <f>SUM($H$18:$H415)</f>
        <v>0</v>
      </c>
    </row>
    <row r="416" spans="1:10" x14ac:dyDescent="0.2">
      <c r="A416" s="151" t="str">
        <f>IF(Values_Entered,A415+1,"")</f>
        <v/>
      </c>
      <c r="B416" s="150" t="str">
        <f t="shared" si="48"/>
        <v/>
      </c>
      <c r="C416" s="148" t="str">
        <f t="shared" si="54"/>
        <v/>
      </c>
      <c r="D416" s="148" t="str">
        <f t="shared" si="49"/>
        <v/>
      </c>
      <c r="E416" s="149" t="e">
        <f t="shared" si="50"/>
        <v>#VALUE!</v>
      </c>
      <c r="F416" s="148" t="e">
        <f t="shared" si="51"/>
        <v>#VALUE!</v>
      </c>
      <c r="G416" s="148" t="str">
        <f t="shared" si="52"/>
        <v/>
      </c>
      <c r="H416" s="148" t="str">
        <f t="shared" si="55"/>
        <v/>
      </c>
      <c r="I416" s="148" t="e">
        <f t="shared" si="53"/>
        <v>#VALUE!</v>
      </c>
      <c r="J416" s="148">
        <f>SUM($H$18:$H416)</f>
        <v>0</v>
      </c>
    </row>
    <row r="417" spans="1:10" x14ac:dyDescent="0.2">
      <c r="A417" s="151" t="str">
        <f>IF(Values_Entered,A416+1,"")</f>
        <v/>
      </c>
      <c r="B417" s="150" t="str">
        <f t="shared" si="48"/>
        <v/>
      </c>
      <c r="C417" s="148" t="str">
        <f t="shared" si="54"/>
        <v/>
      </c>
      <c r="D417" s="148" t="str">
        <f t="shared" si="49"/>
        <v/>
      </c>
      <c r="E417" s="149" t="e">
        <f t="shared" si="50"/>
        <v>#VALUE!</v>
      </c>
      <c r="F417" s="148" t="e">
        <f t="shared" si="51"/>
        <v>#VALUE!</v>
      </c>
      <c r="G417" s="148" t="str">
        <f t="shared" si="52"/>
        <v/>
      </c>
      <c r="H417" s="148" t="str">
        <f t="shared" si="55"/>
        <v/>
      </c>
      <c r="I417" s="148" t="e">
        <f t="shared" si="53"/>
        <v>#VALUE!</v>
      </c>
      <c r="J417" s="148">
        <f>SUM($H$18:$H417)</f>
        <v>0</v>
      </c>
    </row>
    <row r="418" spans="1:10" x14ac:dyDescent="0.2">
      <c r="A418" s="151" t="str">
        <f>IF(Values_Entered,A417+1,"")</f>
        <v/>
      </c>
      <c r="B418" s="150" t="str">
        <f t="shared" si="48"/>
        <v/>
      </c>
      <c r="C418" s="148" t="str">
        <f t="shared" si="54"/>
        <v/>
      </c>
      <c r="D418" s="148" t="str">
        <f t="shared" si="49"/>
        <v/>
      </c>
      <c r="E418" s="149" t="e">
        <f t="shared" si="50"/>
        <v>#VALUE!</v>
      </c>
      <c r="F418" s="148" t="e">
        <f t="shared" si="51"/>
        <v>#VALUE!</v>
      </c>
      <c r="G418" s="148" t="str">
        <f t="shared" si="52"/>
        <v/>
      </c>
      <c r="H418" s="148" t="str">
        <f t="shared" si="55"/>
        <v/>
      </c>
      <c r="I418" s="148" t="e">
        <f t="shared" si="53"/>
        <v>#VALUE!</v>
      </c>
      <c r="J418" s="148">
        <f>SUM($H$18:$H418)</f>
        <v>0</v>
      </c>
    </row>
    <row r="419" spans="1:10" x14ac:dyDescent="0.2">
      <c r="A419" s="151" t="str">
        <f>IF(Values_Entered,A418+1,"")</f>
        <v/>
      </c>
      <c r="B419" s="150" t="str">
        <f t="shared" si="48"/>
        <v/>
      </c>
      <c r="C419" s="148" t="str">
        <f t="shared" si="54"/>
        <v/>
      </c>
      <c r="D419" s="148" t="str">
        <f t="shared" si="49"/>
        <v/>
      </c>
      <c r="E419" s="149" t="e">
        <f t="shared" si="50"/>
        <v>#VALUE!</v>
      </c>
      <c r="F419" s="148" t="e">
        <f t="shared" si="51"/>
        <v>#VALUE!</v>
      </c>
      <c r="G419" s="148" t="str">
        <f t="shared" si="52"/>
        <v/>
      </c>
      <c r="H419" s="148" t="str">
        <f t="shared" si="55"/>
        <v/>
      </c>
      <c r="I419" s="148" t="e">
        <f t="shared" si="53"/>
        <v>#VALUE!</v>
      </c>
      <c r="J419" s="148">
        <f>SUM($H$18:$H419)</f>
        <v>0</v>
      </c>
    </row>
    <row r="420" spans="1:10" x14ac:dyDescent="0.2">
      <c r="A420" s="151" t="str">
        <f>IF(Values_Entered,A419+1,"")</f>
        <v/>
      </c>
      <c r="B420" s="150" t="str">
        <f t="shared" si="48"/>
        <v/>
      </c>
      <c r="C420" s="148" t="str">
        <f t="shared" si="54"/>
        <v/>
      </c>
      <c r="D420" s="148" t="str">
        <f t="shared" si="49"/>
        <v/>
      </c>
      <c r="E420" s="149" t="e">
        <f t="shared" si="50"/>
        <v>#VALUE!</v>
      </c>
      <c r="F420" s="148" t="e">
        <f t="shared" si="51"/>
        <v>#VALUE!</v>
      </c>
      <c r="G420" s="148" t="str">
        <f t="shared" si="52"/>
        <v/>
      </c>
      <c r="H420" s="148" t="str">
        <f t="shared" si="55"/>
        <v/>
      </c>
      <c r="I420" s="148" t="e">
        <f t="shared" si="53"/>
        <v>#VALUE!</v>
      </c>
      <c r="J420" s="148">
        <f>SUM($H$18:$H420)</f>
        <v>0</v>
      </c>
    </row>
    <row r="421" spans="1:10" x14ac:dyDescent="0.2">
      <c r="A421" s="151" t="str">
        <f>IF(Values_Entered,A420+1,"")</f>
        <v/>
      </c>
      <c r="B421" s="150" t="str">
        <f t="shared" si="48"/>
        <v/>
      </c>
      <c r="C421" s="148" t="str">
        <f t="shared" si="54"/>
        <v/>
      </c>
      <c r="D421" s="148" t="str">
        <f t="shared" si="49"/>
        <v/>
      </c>
      <c r="E421" s="149" t="e">
        <f t="shared" si="50"/>
        <v>#VALUE!</v>
      </c>
      <c r="F421" s="148" t="e">
        <f t="shared" si="51"/>
        <v>#VALUE!</v>
      </c>
      <c r="G421" s="148" t="str">
        <f t="shared" si="52"/>
        <v/>
      </c>
      <c r="H421" s="148" t="str">
        <f t="shared" si="55"/>
        <v/>
      </c>
      <c r="I421" s="148" t="e">
        <f t="shared" si="53"/>
        <v>#VALUE!</v>
      </c>
      <c r="J421" s="148">
        <f>SUM($H$18:$H421)</f>
        <v>0</v>
      </c>
    </row>
    <row r="422" spans="1:10" x14ac:dyDescent="0.2">
      <c r="A422" s="151" t="str">
        <f>IF(Values_Entered,A421+1,"")</f>
        <v/>
      </c>
      <c r="B422" s="150" t="str">
        <f t="shared" si="48"/>
        <v/>
      </c>
      <c r="C422" s="148" t="str">
        <f t="shared" si="54"/>
        <v/>
      </c>
      <c r="D422" s="148" t="str">
        <f t="shared" si="49"/>
        <v/>
      </c>
      <c r="E422" s="149" t="e">
        <f t="shared" si="50"/>
        <v>#VALUE!</v>
      </c>
      <c r="F422" s="148" t="e">
        <f t="shared" si="51"/>
        <v>#VALUE!</v>
      </c>
      <c r="G422" s="148" t="str">
        <f t="shared" si="52"/>
        <v/>
      </c>
      <c r="H422" s="148" t="str">
        <f t="shared" si="55"/>
        <v/>
      </c>
      <c r="I422" s="148" t="e">
        <f t="shared" si="53"/>
        <v>#VALUE!</v>
      </c>
      <c r="J422" s="148">
        <f>SUM($H$18:$H422)</f>
        <v>0</v>
      </c>
    </row>
    <row r="423" spans="1:10" x14ac:dyDescent="0.2">
      <c r="A423" s="151" t="str">
        <f>IF(Values_Entered,A422+1,"")</f>
        <v/>
      </c>
      <c r="B423" s="150" t="str">
        <f t="shared" si="48"/>
        <v/>
      </c>
      <c r="C423" s="148" t="str">
        <f t="shared" si="54"/>
        <v/>
      </c>
      <c r="D423" s="148" t="str">
        <f t="shared" si="49"/>
        <v/>
      </c>
      <c r="E423" s="149" t="e">
        <f t="shared" si="50"/>
        <v>#VALUE!</v>
      </c>
      <c r="F423" s="148" t="e">
        <f t="shared" si="51"/>
        <v>#VALUE!</v>
      </c>
      <c r="G423" s="148" t="str">
        <f t="shared" si="52"/>
        <v/>
      </c>
      <c r="H423" s="148" t="str">
        <f t="shared" si="55"/>
        <v/>
      </c>
      <c r="I423" s="148" t="e">
        <f t="shared" si="53"/>
        <v>#VALUE!</v>
      </c>
      <c r="J423" s="148">
        <f>SUM($H$18:$H423)</f>
        <v>0</v>
      </c>
    </row>
    <row r="424" spans="1:10" x14ac:dyDescent="0.2">
      <c r="A424" s="151" t="str">
        <f>IF(Values_Entered,A423+1,"")</f>
        <v/>
      </c>
      <c r="B424" s="150" t="str">
        <f t="shared" si="48"/>
        <v/>
      </c>
      <c r="C424" s="148" t="str">
        <f t="shared" si="54"/>
        <v/>
      </c>
      <c r="D424" s="148" t="str">
        <f t="shared" si="49"/>
        <v/>
      </c>
      <c r="E424" s="149" t="e">
        <f t="shared" si="50"/>
        <v>#VALUE!</v>
      </c>
      <c r="F424" s="148" t="e">
        <f t="shared" si="51"/>
        <v>#VALUE!</v>
      </c>
      <c r="G424" s="148" t="str">
        <f t="shared" si="52"/>
        <v/>
      </c>
      <c r="H424" s="148" t="str">
        <f t="shared" si="55"/>
        <v/>
      </c>
      <c r="I424" s="148" t="e">
        <f t="shared" si="53"/>
        <v>#VALUE!</v>
      </c>
      <c r="J424" s="148">
        <f>SUM($H$18:$H424)</f>
        <v>0</v>
      </c>
    </row>
    <row r="425" spans="1:10" x14ac:dyDescent="0.2">
      <c r="A425" s="151" t="str">
        <f>IF(Values_Entered,A424+1,"")</f>
        <v/>
      </c>
      <c r="B425" s="150" t="str">
        <f t="shared" si="48"/>
        <v/>
      </c>
      <c r="C425" s="148" t="str">
        <f t="shared" si="54"/>
        <v/>
      </c>
      <c r="D425" s="148" t="str">
        <f t="shared" si="49"/>
        <v/>
      </c>
      <c r="E425" s="149" t="e">
        <f t="shared" si="50"/>
        <v>#VALUE!</v>
      </c>
      <c r="F425" s="148" t="e">
        <f t="shared" si="51"/>
        <v>#VALUE!</v>
      </c>
      <c r="G425" s="148" t="str">
        <f t="shared" si="52"/>
        <v/>
      </c>
      <c r="H425" s="148" t="str">
        <f t="shared" si="55"/>
        <v/>
      </c>
      <c r="I425" s="148" t="e">
        <f t="shared" si="53"/>
        <v>#VALUE!</v>
      </c>
      <c r="J425" s="148">
        <f>SUM($H$18:$H425)</f>
        <v>0</v>
      </c>
    </row>
    <row r="426" spans="1:10" x14ac:dyDescent="0.2">
      <c r="A426" s="151" t="str">
        <f>IF(Values_Entered,A425+1,"")</f>
        <v/>
      </c>
      <c r="B426" s="150" t="str">
        <f t="shared" si="48"/>
        <v/>
      </c>
      <c r="C426" s="148" t="str">
        <f t="shared" si="54"/>
        <v/>
      </c>
      <c r="D426" s="148" t="str">
        <f t="shared" si="49"/>
        <v/>
      </c>
      <c r="E426" s="149" t="e">
        <f t="shared" si="50"/>
        <v>#VALUE!</v>
      </c>
      <c r="F426" s="148" t="e">
        <f t="shared" si="51"/>
        <v>#VALUE!</v>
      </c>
      <c r="G426" s="148" t="str">
        <f t="shared" si="52"/>
        <v/>
      </c>
      <c r="H426" s="148" t="str">
        <f t="shared" si="55"/>
        <v/>
      </c>
      <c r="I426" s="148" t="e">
        <f t="shared" si="53"/>
        <v>#VALUE!</v>
      </c>
      <c r="J426" s="148">
        <f>SUM($H$18:$H426)</f>
        <v>0</v>
      </c>
    </row>
    <row r="427" spans="1:10" x14ac:dyDescent="0.2">
      <c r="A427" s="151" t="str">
        <f>IF(Values_Entered,A426+1,"")</f>
        <v/>
      </c>
      <c r="B427" s="150" t="str">
        <f t="shared" si="48"/>
        <v/>
      </c>
      <c r="C427" s="148" t="str">
        <f t="shared" si="54"/>
        <v/>
      </c>
      <c r="D427" s="148" t="str">
        <f t="shared" si="49"/>
        <v/>
      </c>
      <c r="E427" s="149" t="e">
        <f t="shared" si="50"/>
        <v>#VALUE!</v>
      </c>
      <c r="F427" s="148" t="e">
        <f t="shared" si="51"/>
        <v>#VALUE!</v>
      </c>
      <c r="G427" s="148" t="str">
        <f t="shared" si="52"/>
        <v/>
      </c>
      <c r="H427" s="148" t="str">
        <f t="shared" si="55"/>
        <v/>
      </c>
      <c r="I427" s="148" t="e">
        <f t="shared" si="53"/>
        <v>#VALUE!</v>
      </c>
      <c r="J427" s="148">
        <f>SUM($H$18:$H427)</f>
        <v>0</v>
      </c>
    </row>
    <row r="428" spans="1:10" x14ac:dyDescent="0.2">
      <c r="A428" s="151" t="str">
        <f>IF(Values_Entered,A427+1,"")</f>
        <v/>
      </c>
      <c r="B428" s="150" t="str">
        <f t="shared" si="48"/>
        <v/>
      </c>
      <c r="C428" s="148" t="str">
        <f t="shared" si="54"/>
        <v/>
      </c>
      <c r="D428" s="148" t="str">
        <f t="shared" si="49"/>
        <v/>
      </c>
      <c r="E428" s="149" t="e">
        <f t="shared" si="50"/>
        <v>#VALUE!</v>
      </c>
      <c r="F428" s="148" t="e">
        <f t="shared" si="51"/>
        <v>#VALUE!</v>
      </c>
      <c r="G428" s="148" t="str">
        <f t="shared" si="52"/>
        <v/>
      </c>
      <c r="H428" s="148" t="str">
        <f t="shared" si="55"/>
        <v/>
      </c>
      <c r="I428" s="148" t="e">
        <f t="shared" si="53"/>
        <v>#VALUE!</v>
      </c>
      <c r="J428" s="148">
        <f>SUM($H$18:$H428)</f>
        <v>0</v>
      </c>
    </row>
    <row r="429" spans="1:10" x14ac:dyDescent="0.2">
      <c r="A429" s="151" t="str">
        <f>IF(Values_Entered,A428+1,"")</f>
        <v/>
      </c>
      <c r="B429" s="150" t="str">
        <f t="shared" si="48"/>
        <v/>
      </c>
      <c r="C429" s="148" t="str">
        <f t="shared" si="54"/>
        <v/>
      </c>
      <c r="D429" s="148" t="str">
        <f t="shared" si="49"/>
        <v/>
      </c>
      <c r="E429" s="149" t="e">
        <f t="shared" si="50"/>
        <v>#VALUE!</v>
      </c>
      <c r="F429" s="148" t="e">
        <f t="shared" si="51"/>
        <v>#VALUE!</v>
      </c>
      <c r="G429" s="148" t="str">
        <f t="shared" si="52"/>
        <v/>
      </c>
      <c r="H429" s="148" t="str">
        <f t="shared" si="55"/>
        <v/>
      </c>
      <c r="I429" s="148" t="e">
        <f t="shared" si="53"/>
        <v>#VALUE!</v>
      </c>
      <c r="J429" s="148">
        <f>SUM($H$18:$H429)</f>
        <v>0</v>
      </c>
    </row>
    <row r="430" spans="1:10" x14ac:dyDescent="0.2">
      <c r="A430" s="151" t="str">
        <f>IF(Values_Entered,A429+1,"")</f>
        <v/>
      </c>
      <c r="B430" s="150" t="str">
        <f t="shared" si="48"/>
        <v/>
      </c>
      <c r="C430" s="148" t="str">
        <f t="shared" si="54"/>
        <v/>
      </c>
      <c r="D430" s="148" t="str">
        <f t="shared" si="49"/>
        <v/>
      </c>
      <c r="E430" s="149" t="e">
        <f t="shared" si="50"/>
        <v>#VALUE!</v>
      </c>
      <c r="F430" s="148" t="e">
        <f t="shared" si="51"/>
        <v>#VALUE!</v>
      </c>
      <c r="G430" s="148" t="str">
        <f t="shared" si="52"/>
        <v/>
      </c>
      <c r="H430" s="148" t="str">
        <f t="shared" si="55"/>
        <v/>
      </c>
      <c r="I430" s="148" t="e">
        <f t="shared" si="53"/>
        <v>#VALUE!</v>
      </c>
      <c r="J430" s="148">
        <f>SUM($H$18:$H430)</f>
        <v>0</v>
      </c>
    </row>
    <row r="431" spans="1:10" x14ac:dyDescent="0.2">
      <c r="A431" s="151" t="str">
        <f>IF(Values_Entered,A430+1,"")</f>
        <v/>
      </c>
      <c r="B431" s="150" t="str">
        <f t="shared" si="48"/>
        <v/>
      </c>
      <c r="C431" s="148" t="str">
        <f t="shared" si="54"/>
        <v/>
      </c>
      <c r="D431" s="148" t="str">
        <f t="shared" si="49"/>
        <v/>
      </c>
      <c r="E431" s="149" t="e">
        <f t="shared" si="50"/>
        <v>#VALUE!</v>
      </c>
      <c r="F431" s="148" t="e">
        <f t="shared" si="51"/>
        <v>#VALUE!</v>
      </c>
      <c r="G431" s="148" t="str">
        <f t="shared" si="52"/>
        <v/>
      </c>
      <c r="H431" s="148" t="str">
        <f t="shared" si="55"/>
        <v/>
      </c>
      <c r="I431" s="148" t="e">
        <f t="shared" si="53"/>
        <v>#VALUE!</v>
      </c>
      <c r="J431" s="148">
        <f>SUM($H$18:$H431)</f>
        <v>0</v>
      </c>
    </row>
    <row r="432" spans="1:10" x14ac:dyDescent="0.2">
      <c r="A432" s="151" t="str">
        <f>IF(Values_Entered,A431+1,"")</f>
        <v/>
      </c>
      <c r="B432" s="150" t="str">
        <f t="shared" si="48"/>
        <v/>
      </c>
      <c r="C432" s="148" t="str">
        <f t="shared" si="54"/>
        <v/>
      </c>
      <c r="D432" s="148" t="str">
        <f t="shared" si="49"/>
        <v/>
      </c>
      <c r="E432" s="149" t="e">
        <f t="shared" si="50"/>
        <v>#VALUE!</v>
      </c>
      <c r="F432" s="148" t="e">
        <f t="shared" si="51"/>
        <v>#VALUE!</v>
      </c>
      <c r="G432" s="148" t="str">
        <f t="shared" si="52"/>
        <v/>
      </c>
      <c r="H432" s="148" t="str">
        <f t="shared" si="55"/>
        <v/>
      </c>
      <c r="I432" s="148" t="e">
        <f t="shared" si="53"/>
        <v>#VALUE!</v>
      </c>
      <c r="J432" s="148">
        <f>SUM($H$18:$H432)</f>
        <v>0</v>
      </c>
    </row>
    <row r="433" spans="1:10" x14ac:dyDescent="0.2">
      <c r="A433" s="151" t="str">
        <f>IF(Values_Entered,A432+1,"")</f>
        <v/>
      </c>
      <c r="B433" s="150" t="str">
        <f t="shared" si="48"/>
        <v/>
      </c>
      <c r="C433" s="148" t="str">
        <f t="shared" si="54"/>
        <v/>
      </c>
      <c r="D433" s="148" t="str">
        <f t="shared" si="49"/>
        <v/>
      </c>
      <c r="E433" s="149" t="e">
        <f t="shared" si="50"/>
        <v>#VALUE!</v>
      </c>
      <c r="F433" s="148" t="e">
        <f t="shared" si="51"/>
        <v>#VALUE!</v>
      </c>
      <c r="G433" s="148" t="str">
        <f t="shared" si="52"/>
        <v/>
      </c>
      <c r="H433" s="148" t="str">
        <f t="shared" si="55"/>
        <v/>
      </c>
      <c r="I433" s="148" t="e">
        <f t="shared" si="53"/>
        <v>#VALUE!</v>
      </c>
      <c r="J433" s="148">
        <f>SUM($H$18:$H433)</f>
        <v>0</v>
      </c>
    </row>
    <row r="434" spans="1:10" x14ac:dyDescent="0.2">
      <c r="A434" s="151" t="str">
        <f>IF(Values_Entered,A433+1,"")</f>
        <v/>
      </c>
      <c r="B434" s="150" t="str">
        <f t="shared" si="48"/>
        <v/>
      </c>
      <c r="C434" s="148" t="str">
        <f t="shared" si="54"/>
        <v/>
      </c>
      <c r="D434" s="148" t="str">
        <f t="shared" si="49"/>
        <v/>
      </c>
      <c r="E434" s="149" t="e">
        <f t="shared" si="50"/>
        <v>#VALUE!</v>
      </c>
      <c r="F434" s="148" t="e">
        <f t="shared" si="51"/>
        <v>#VALUE!</v>
      </c>
      <c r="G434" s="148" t="str">
        <f t="shared" si="52"/>
        <v/>
      </c>
      <c r="H434" s="148" t="str">
        <f t="shared" si="55"/>
        <v/>
      </c>
      <c r="I434" s="148" t="e">
        <f t="shared" si="53"/>
        <v>#VALUE!</v>
      </c>
      <c r="J434" s="148">
        <f>SUM($H$18:$H434)</f>
        <v>0</v>
      </c>
    </row>
    <row r="435" spans="1:10" x14ac:dyDescent="0.2">
      <c r="A435" s="151" t="str">
        <f>IF(Values_Entered,A434+1,"")</f>
        <v/>
      </c>
      <c r="B435" s="150" t="str">
        <f t="shared" si="48"/>
        <v/>
      </c>
      <c r="C435" s="148" t="str">
        <f t="shared" si="54"/>
        <v/>
      </c>
      <c r="D435" s="148" t="str">
        <f t="shared" si="49"/>
        <v/>
      </c>
      <c r="E435" s="149" t="e">
        <f t="shared" si="50"/>
        <v>#VALUE!</v>
      </c>
      <c r="F435" s="148" t="e">
        <f t="shared" si="51"/>
        <v>#VALUE!</v>
      </c>
      <c r="G435" s="148" t="str">
        <f t="shared" si="52"/>
        <v/>
      </c>
      <c r="H435" s="148" t="str">
        <f t="shared" si="55"/>
        <v/>
      </c>
      <c r="I435" s="148" t="e">
        <f t="shared" si="53"/>
        <v>#VALUE!</v>
      </c>
      <c r="J435" s="148">
        <f>SUM($H$18:$H435)</f>
        <v>0</v>
      </c>
    </row>
    <row r="436" spans="1:10" x14ac:dyDescent="0.2">
      <c r="A436" s="151" t="str">
        <f>IF(Values_Entered,A435+1,"")</f>
        <v/>
      </c>
      <c r="B436" s="150" t="str">
        <f t="shared" si="48"/>
        <v/>
      </c>
      <c r="C436" s="148" t="str">
        <f t="shared" si="54"/>
        <v/>
      </c>
      <c r="D436" s="148" t="str">
        <f t="shared" si="49"/>
        <v/>
      </c>
      <c r="E436" s="149" t="e">
        <f t="shared" si="50"/>
        <v>#VALUE!</v>
      </c>
      <c r="F436" s="148" t="e">
        <f t="shared" si="51"/>
        <v>#VALUE!</v>
      </c>
      <c r="G436" s="148" t="str">
        <f t="shared" si="52"/>
        <v/>
      </c>
      <c r="H436" s="148" t="str">
        <f t="shared" si="55"/>
        <v/>
      </c>
      <c r="I436" s="148" t="e">
        <f t="shared" si="53"/>
        <v>#VALUE!</v>
      </c>
      <c r="J436" s="148">
        <f>SUM($H$18:$H436)</f>
        <v>0</v>
      </c>
    </row>
    <row r="437" spans="1:10" x14ac:dyDescent="0.2">
      <c r="A437" s="151" t="str">
        <f>IF(Values_Entered,A436+1,"")</f>
        <v/>
      </c>
      <c r="B437" s="150" t="str">
        <f t="shared" si="48"/>
        <v/>
      </c>
      <c r="C437" s="148" t="str">
        <f t="shared" si="54"/>
        <v/>
      </c>
      <c r="D437" s="148" t="str">
        <f t="shared" si="49"/>
        <v/>
      </c>
      <c r="E437" s="149" t="e">
        <f t="shared" si="50"/>
        <v>#VALUE!</v>
      </c>
      <c r="F437" s="148" t="e">
        <f t="shared" si="51"/>
        <v>#VALUE!</v>
      </c>
      <c r="G437" s="148" t="str">
        <f t="shared" si="52"/>
        <v/>
      </c>
      <c r="H437" s="148" t="str">
        <f t="shared" si="55"/>
        <v/>
      </c>
      <c r="I437" s="148" t="e">
        <f t="shared" si="53"/>
        <v>#VALUE!</v>
      </c>
      <c r="J437" s="148">
        <f>SUM($H$18:$H437)</f>
        <v>0</v>
      </c>
    </row>
    <row r="438" spans="1:10" x14ac:dyDescent="0.2">
      <c r="A438" s="151" t="str">
        <f>IF(Values_Entered,A437+1,"")</f>
        <v/>
      </c>
      <c r="B438" s="150" t="str">
        <f t="shared" si="48"/>
        <v/>
      </c>
      <c r="C438" s="148" t="str">
        <f t="shared" si="54"/>
        <v/>
      </c>
      <c r="D438" s="148" t="str">
        <f t="shared" si="49"/>
        <v/>
      </c>
      <c r="E438" s="149" t="e">
        <f t="shared" si="50"/>
        <v>#VALUE!</v>
      </c>
      <c r="F438" s="148" t="e">
        <f t="shared" si="51"/>
        <v>#VALUE!</v>
      </c>
      <c r="G438" s="148" t="str">
        <f t="shared" si="52"/>
        <v/>
      </c>
      <c r="H438" s="148" t="str">
        <f t="shared" si="55"/>
        <v/>
      </c>
      <c r="I438" s="148" t="e">
        <f t="shared" si="53"/>
        <v>#VALUE!</v>
      </c>
      <c r="J438" s="148">
        <f>SUM($H$18:$H438)</f>
        <v>0</v>
      </c>
    </row>
    <row r="439" spans="1:10" x14ac:dyDescent="0.2">
      <c r="A439" s="151" t="str">
        <f>IF(Values_Entered,A438+1,"")</f>
        <v/>
      </c>
      <c r="B439" s="150" t="str">
        <f t="shared" si="48"/>
        <v/>
      </c>
      <c r="C439" s="148" t="str">
        <f t="shared" si="54"/>
        <v/>
      </c>
      <c r="D439" s="148" t="str">
        <f t="shared" si="49"/>
        <v/>
      </c>
      <c r="E439" s="149" t="e">
        <f t="shared" si="50"/>
        <v>#VALUE!</v>
      </c>
      <c r="F439" s="148" t="e">
        <f t="shared" si="51"/>
        <v>#VALUE!</v>
      </c>
      <c r="G439" s="148" t="str">
        <f t="shared" si="52"/>
        <v/>
      </c>
      <c r="H439" s="148" t="str">
        <f t="shared" si="55"/>
        <v/>
      </c>
      <c r="I439" s="148" t="e">
        <f t="shared" si="53"/>
        <v>#VALUE!</v>
      </c>
      <c r="J439" s="148">
        <f>SUM($H$18:$H439)</f>
        <v>0</v>
      </c>
    </row>
    <row r="440" spans="1:10" x14ac:dyDescent="0.2">
      <c r="A440" s="151" t="str">
        <f>IF(Values_Entered,A439+1,"")</f>
        <v/>
      </c>
      <c r="B440" s="150" t="str">
        <f t="shared" si="48"/>
        <v/>
      </c>
      <c r="C440" s="148" t="str">
        <f t="shared" si="54"/>
        <v/>
      </c>
      <c r="D440" s="148" t="str">
        <f t="shared" si="49"/>
        <v/>
      </c>
      <c r="E440" s="149" t="e">
        <f t="shared" si="50"/>
        <v>#VALUE!</v>
      </c>
      <c r="F440" s="148" t="e">
        <f t="shared" si="51"/>
        <v>#VALUE!</v>
      </c>
      <c r="G440" s="148" t="str">
        <f t="shared" si="52"/>
        <v/>
      </c>
      <c r="H440" s="148" t="str">
        <f t="shared" si="55"/>
        <v/>
      </c>
      <c r="I440" s="148" t="e">
        <f t="shared" si="53"/>
        <v>#VALUE!</v>
      </c>
      <c r="J440" s="148">
        <f>SUM($H$18:$H440)</f>
        <v>0</v>
      </c>
    </row>
    <row r="441" spans="1:10" x14ac:dyDescent="0.2">
      <c r="A441" s="151" t="str">
        <f>IF(Values_Entered,A440+1,"")</f>
        <v/>
      </c>
      <c r="B441" s="150" t="str">
        <f t="shared" si="48"/>
        <v/>
      </c>
      <c r="C441" s="148" t="str">
        <f t="shared" si="54"/>
        <v/>
      </c>
      <c r="D441" s="148" t="str">
        <f t="shared" si="49"/>
        <v/>
      </c>
      <c r="E441" s="149" t="e">
        <f t="shared" si="50"/>
        <v>#VALUE!</v>
      </c>
      <c r="F441" s="148" t="e">
        <f t="shared" si="51"/>
        <v>#VALUE!</v>
      </c>
      <c r="G441" s="148" t="str">
        <f t="shared" si="52"/>
        <v/>
      </c>
      <c r="H441" s="148" t="str">
        <f t="shared" si="55"/>
        <v/>
      </c>
      <c r="I441" s="148" t="e">
        <f t="shared" si="53"/>
        <v>#VALUE!</v>
      </c>
      <c r="J441" s="148">
        <f>SUM($H$18:$H441)</f>
        <v>0</v>
      </c>
    </row>
    <row r="442" spans="1:10" x14ac:dyDescent="0.2">
      <c r="A442" s="151" t="str">
        <f>IF(Values_Entered,A441+1,"")</f>
        <v/>
      </c>
      <c r="B442" s="150" t="str">
        <f t="shared" si="48"/>
        <v/>
      </c>
      <c r="C442" s="148" t="str">
        <f t="shared" si="54"/>
        <v/>
      </c>
      <c r="D442" s="148" t="str">
        <f t="shared" si="49"/>
        <v/>
      </c>
      <c r="E442" s="149" t="e">
        <f t="shared" si="50"/>
        <v>#VALUE!</v>
      </c>
      <c r="F442" s="148" t="e">
        <f t="shared" si="51"/>
        <v>#VALUE!</v>
      </c>
      <c r="G442" s="148" t="str">
        <f t="shared" si="52"/>
        <v/>
      </c>
      <c r="H442" s="148" t="str">
        <f t="shared" si="55"/>
        <v/>
      </c>
      <c r="I442" s="148" t="e">
        <f t="shared" si="53"/>
        <v>#VALUE!</v>
      </c>
      <c r="J442" s="148">
        <f>SUM($H$18:$H442)</f>
        <v>0</v>
      </c>
    </row>
    <row r="443" spans="1:10" x14ac:dyDescent="0.2">
      <c r="A443" s="151" t="str">
        <f>IF(Values_Entered,A442+1,"")</f>
        <v/>
      </c>
      <c r="B443" s="150" t="str">
        <f t="shared" si="48"/>
        <v/>
      </c>
      <c r="C443" s="148" t="str">
        <f t="shared" si="54"/>
        <v/>
      </c>
      <c r="D443" s="148" t="str">
        <f t="shared" si="49"/>
        <v/>
      </c>
      <c r="E443" s="149" t="e">
        <f t="shared" si="50"/>
        <v>#VALUE!</v>
      </c>
      <c r="F443" s="148" t="e">
        <f t="shared" si="51"/>
        <v>#VALUE!</v>
      </c>
      <c r="G443" s="148" t="str">
        <f t="shared" si="52"/>
        <v/>
      </c>
      <c r="H443" s="148" t="str">
        <f t="shared" si="55"/>
        <v/>
      </c>
      <c r="I443" s="148" t="e">
        <f t="shared" si="53"/>
        <v>#VALUE!</v>
      </c>
      <c r="J443" s="148">
        <f>SUM($H$18:$H443)</f>
        <v>0</v>
      </c>
    </row>
    <row r="444" spans="1:10" x14ac:dyDescent="0.2">
      <c r="A444" s="151" t="str">
        <f>IF(Values_Entered,A443+1,"")</f>
        <v/>
      </c>
      <c r="B444" s="150" t="str">
        <f t="shared" si="48"/>
        <v/>
      </c>
      <c r="C444" s="148" t="str">
        <f t="shared" si="54"/>
        <v/>
      </c>
      <c r="D444" s="148" t="str">
        <f t="shared" si="49"/>
        <v/>
      </c>
      <c r="E444" s="149" t="e">
        <f t="shared" si="50"/>
        <v>#VALUE!</v>
      </c>
      <c r="F444" s="148" t="e">
        <f t="shared" si="51"/>
        <v>#VALUE!</v>
      </c>
      <c r="G444" s="148" t="str">
        <f t="shared" si="52"/>
        <v/>
      </c>
      <c r="H444" s="148" t="str">
        <f t="shared" si="55"/>
        <v/>
      </c>
      <c r="I444" s="148" t="e">
        <f t="shared" si="53"/>
        <v>#VALUE!</v>
      </c>
      <c r="J444" s="148">
        <f>SUM($H$18:$H444)</f>
        <v>0</v>
      </c>
    </row>
    <row r="445" spans="1:10" x14ac:dyDescent="0.2">
      <c r="A445" s="151" t="str">
        <f>IF(Values_Entered,A444+1,"")</f>
        <v/>
      </c>
      <c r="B445" s="150" t="str">
        <f t="shared" si="48"/>
        <v/>
      </c>
      <c r="C445" s="148" t="str">
        <f t="shared" si="54"/>
        <v/>
      </c>
      <c r="D445" s="148" t="str">
        <f t="shared" si="49"/>
        <v/>
      </c>
      <c r="E445" s="149" t="e">
        <f t="shared" si="50"/>
        <v>#VALUE!</v>
      </c>
      <c r="F445" s="148" t="e">
        <f t="shared" si="51"/>
        <v>#VALUE!</v>
      </c>
      <c r="G445" s="148" t="str">
        <f t="shared" si="52"/>
        <v/>
      </c>
      <c r="H445" s="148" t="str">
        <f t="shared" si="55"/>
        <v/>
      </c>
      <c r="I445" s="148" t="e">
        <f t="shared" si="53"/>
        <v>#VALUE!</v>
      </c>
      <c r="J445" s="148">
        <f>SUM($H$18:$H445)</f>
        <v>0</v>
      </c>
    </row>
    <row r="446" spans="1:10" x14ac:dyDescent="0.2">
      <c r="A446" s="151" t="str">
        <f>IF(Values_Entered,A445+1,"")</f>
        <v/>
      </c>
      <c r="B446" s="150" t="str">
        <f t="shared" si="48"/>
        <v/>
      </c>
      <c r="C446" s="148" t="str">
        <f t="shared" si="54"/>
        <v/>
      </c>
      <c r="D446" s="148" t="str">
        <f t="shared" si="49"/>
        <v/>
      </c>
      <c r="E446" s="149" t="e">
        <f t="shared" si="50"/>
        <v>#VALUE!</v>
      </c>
      <c r="F446" s="148" t="e">
        <f t="shared" si="51"/>
        <v>#VALUE!</v>
      </c>
      <c r="G446" s="148" t="str">
        <f t="shared" si="52"/>
        <v/>
      </c>
      <c r="H446" s="148" t="str">
        <f t="shared" si="55"/>
        <v/>
      </c>
      <c r="I446" s="148" t="e">
        <f t="shared" si="53"/>
        <v>#VALUE!</v>
      </c>
      <c r="J446" s="148">
        <f>SUM($H$18:$H446)</f>
        <v>0</v>
      </c>
    </row>
    <row r="447" spans="1:10" x14ac:dyDescent="0.2">
      <c r="A447" s="151" t="str">
        <f>IF(Values_Entered,A446+1,"")</f>
        <v/>
      </c>
      <c r="B447" s="150" t="str">
        <f t="shared" si="48"/>
        <v/>
      </c>
      <c r="C447" s="148" t="str">
        <f t="shared" si="54"/>
        <v/>
      </c>
      <c r="D447" s="148" t="str">
        <f t="shared" si="49"/>
        <v/>
      </c>
      <c r="E447" s="149" t="e">
        <f t="shared" si="50"/>
        <v>#VALUE!</v>
      </c>
      <c r="F447" s="148" t="e">
        <f t="shared" si="51"/>
        <v>#VALUE!</v>
      </c>
      <c r="G447" s="148" t="str">
        <f t="shared" si="52"/>
        <v/>
      </c>
      <c r="H447" s="148" t="str">
        <f t="shared" si="55"/>
        <v/>
      </c>
      <c r="I447" s="148" t="e">
        <f t="shared" si="53"/>
        <v>#VALUE!</v>
      </c>
      <c r="J447" s="148">
        <f>SUM($H$18:$H447)</f>
        <v>0</v>
      </c>
    </row>
    <row r="448" spans="1:10" x14ac:dyDescent="0.2">
      <c r="A448" s="151" t="str">
        <f>IF(Values_Entered,A447+1,"")</f>
        <v/>
      </c>
      <c r="B448" s="150" t="str">
        <f t="shared" si="48"/>
        <v/>
      </c>
      <c r="C448" s="148" t="str">
        <f t="shared" si="54"/>
        <v/>
      </c>
      <c r="D448" s="148" t="str">
        <f t="shared" si="49"/>
        <v/>
      </c>
      <c r="E448" s="149" t="e">
        <f t="shared" si="50"/>
        <v>#VALUE!</v>
      </c>
      <c r="F448" s="148" t="e">
        <f t="shared" si="51"/>
        <v>#VALUE!</v>
      </c>
      <c r="G448" s="148" t="str">
        <f t="shared" si="52"/>
        <v/>
      </c>
      <c r="H448" s="148" t="str">
        <f t="shared" si="55"/>
        <v/>
      </c>
      <c r="I448" s="148" t="e">
        <f t="shared" si="53"/>
        <v>#VALUE!</v>
      </c>
      <c r="J448" s="148">
        <f>SUM($H$18:$H448)</f>
        <v>0</v>
      </c>
    </row>
    <row r="449" spans="1:10" x14ac:dyDescent="0.2">
      <c r="A449" s="151" t="str">
        <f>IF(Values_Entered,A448+1,"")</f>
        <v/>
      </c>
      <c r="B449" s="150" t="str">
        <f t="shared" si="48"/>
        <v/>
      </c>
      <c r="C449" s="148" t="str">
        <f t="shared" si="54"/>
        <v/>
      </c>
      <c r="D449" s="148" t="str">
        <f t="shared" si="49"/>
        <v/>
      </c>
      <c r="E449" s="149" t="e">
        <f t="shared" si="50"/>
        <v>#VALUE!</v>
      </c>
      <c r="F449" s="148" t="e">
        <f t="shared" si="51"/>
        <v>#VALUE!</v>
      </c>
      <c r="G449" s="148" t="str">
        <f t="shared" si="52"/>
        <v/>
      </c>
      <c r="H449" s="148" t="str">
        <f t="shared" si="55"/>
        <v/>
      </c>
      <c r="I449" s="148" t="e">
        <f t="shared" si="53"/>
        <v>#VALUE!</v>
      </c>
      <c r="J449" s="148">
        <f>SUM($H$18:$H449)</f>
        <v>0</v>
      </c>
    </row>
    <row r="450" spans="1:10" x14ac:dyDescent="0.2">
      <c r="A450" s="151" t="str">
        <f>IF(Values_Entered,A449+1,"")</f>
        <v/>
      </c>
      <c r="B450" s="150" t="str">
        <f t="shared" si="48"/>
        <v/>
      </c>
      <c r="C450" s="148" t="str">
        <f t="shared" si="54"/>
        <v/>
      </c>
      <c r="D450" s="148" t="str">
        <f t="shared" si="49"/>
        <v/>
      </c>
      <c r="E450" s="149" t="e">
        <f t="shared" si="50"/>
        <v>#VALUE!</v>
      </c>
      <c r="F450" s="148" t="e">
        <f t="shared" si="51"/>
        <v>#VALUE!</v>
      </c>
      <c r="G450" s="148" t="str">
        <f t="shared" si="52"/>
        <v/>
      </c>
      <c r="H450" s="148" t="str">
        <f t="shared" si="55"/>
        <v/>
      </c>
      <c r="I450" s="148" t="e">
        <f t="shared" si="53"/>
        <v>#VALUE!</v>
      </c>
      <c r="J450" s="148">
        <f>SUM($H$18:$H450)</f>
        <v>0</v>
      </c>
    </row>
    <row r="451" spans="1:10" x14ac:dyDescent="0.2">
      <c r="A451" s="151" t="str">
        <f>IF(Values_Entered,A450+1,"")</f>
        <v/>
      </c>
      <c r="B451" s="150" t="str">
        <f t="shared" si="48"/>
        <v/>
      </c>
      <c r="C451" s="148" t="str">
        <f t="shared" si="54"/>
        <v/>
      </c>
      <c r="D451" s="148" t="str">
        <f t="shared" si="49"/>
        <v/>
      </c>
      <c r="E451" s="149" t="e">
        <f t="shared" si="50"/>
        <v>#VALUE!</v>
      </c>
      <c r="F451" s="148" t="e">
        <f t="shared" si="51"/>
        <v>#VALUE!</v>
      </c>
      <c r="G451" s="148" t="str">
        <f t="shared" si="52"/>
        <v/>
      </c>
      <c r="H451" s="148" t="str">
        <f t="shared" si="55"/>
        <v/>
      </c>
      <c r="I451" s="148" t="e">
        <f t="shared" si="53"/>
        <v>#VALUE!</v>
      </c>
      <c r="J451" s="148">
        <f>SUM($H$18:$H451)</f>
        <v>0</v>
      </c>
    </row>
    <row r="452" spans="1:10" x14ac:dyDescent="0.2">
      <c r="A452" s="151" t="str">
        <f>IF(Values_Entered,A451+1,"")</f>
        <v/>
      </c>
      <c r="B452" s="150" t="str">
        <f t="shared" si="48"/>
        <v/>
      </c>
      <c r="C452" s="148" t="str">
        <f t="shared" si="54"/>
        <v/>
      </c>
      <c r="D452" s="148" t="str">
        <f t="shared" si="49"/>
        <v/>
      </c>
      <c r="E452" s="149" t="e">
        <f t="shared" si="50"/>
        <v>#VALUE!</v>
      </c>
      <c r="F452" s="148" t="e">
        <f t="shared" si="51"/>
        <v>#VALUE!</v>
      </c>
      <c r="G452" s="148" t="str">
        <f t="shared" si="52"/>
        <v/>
      </c>
      <c r="H452" s="148" t="str">
        <f t="shared" si="55"/>
        <v/>
      </c>
      <c r="I452" s="148" t="e">
        <f t="shared" si="53"/>
        <v>#VALUE!</v>
      </c>
      <c r="J452" s="148">
        <f>SUM($H$18:$H452)</f>
        <v>0</v>
      </c>
    </row>
    <row r="453" spans="1:10" x14ac:dyDescent="0.2">
      <c r="A453" s="151" t="str">
        <f>IF(Values_Entered,A452+1,"")</f>
        <v/>
      </c>
      <c r="B453" s="150" t="str">
        <f t="shared" si="48"/>
        <v/>
      </c>
      <c r="C453" s="148" t="str">
        <f t="shared" si="54"/>
        <v/>
      </c>
      <c r="D453" s="148" t="str">
        <f t="shared" si="49"/>
        <v/>
      </c>
      <c r="E453" s="149" t="e">
        <f t="shared" si="50"/>
        <v>#VALUE!</v>
      </c>
      <c r="F453" s="148" t="e">
        <f t="shared" si="51"/>
        <v>#VALUE!</v>
      </c>
      <c r="G453" s="148" t="str">
        <f t="shared" si="52"/>
        <v/>
      </c>
      <c r="H453" s="148" t="str">
        <f t="shared" si="55"/>
        <v/>
      </c>
      <c r="I453" s="148" t="e">
        <f t="shared" si="53"/>
        <v>#VALUE!</v>
      </c>
      <c r="J453" s="148">
        <f>SUM($H$18:$H453)</f>
        <v>0</v>
      </c>
    </row>
    <row r="454" spans="1:10" x14ac:dyDescent="0.2">
      <c r="A454" s="151" t="str">
        <f>IF(Values_Entered,A453+1,"")</f>
        <v/>
      </c>
      <c r="B454" s="150" t="str">
        <f t="shared" si="48"/>
        <v/>
      </c>
      <c r="C454" s="148" t="str">
        <f t="shared" si="54"/>
        <v/>
      </c>
      <c r="D454" s="148" t="str">
        <f t="shared" si="49"/>
        <v/>
      </c>
      <c r="E454" s="149" t="e">
        <f t="shared" si="50"/>
        <v>#VALUE!</v>
      </c>
      <c r="F454" s="148" t="e">
        <f t="shared" si="51"/>
        <v>#VALUE!</v>
      </c>
      <c r="G454" s="148" t="str">
        <f t="shared" si="52"/>
        <v/>
      </c>
      <c r="H454" s="148" t="str">
        <f t="shared" si="55"/>
        <v/>
      </c>
      <c r="I454" s="148" t="e">
        <f t="shared" si="53"/>
        <v>#VALUE!</v>
      </c>
      <c r="J454" s="148">
        <f>SUM($H$18:$H454)</f>
        <v>0</v>
      </c>
    </row>
    <row r="455" spans="1:10" x14ac:dyDescent="0.2">
      <c r="A455" s="151" t="str">
        <f>IF(Values_Entered,A454+1,"")</f>
        <v/>
      </c>
      <c r="B455" s="150" t="str">
        <f t="shared" si="48"/>
        <v/>
      </c>
      <c r="C455" s="148" t="str">
        <f t="shared" si="54"/>
        <v/>
      </c>
      <c r="D455" s="148" t="str">
        <f t="shared" si="49"/>
        <v/>
      </c>
      <c r="E455" s="149" t="e">
        <f t="shared" si="50"/>
        <v>#VALUE!</v>
      </c>
      <c r="F455" s="148" t="e">
        <f t="shared" si="51"/>
        <v>#VALUE!</v>
      </c>
      <c r="G455" s="148" t="str">
        <f t="shared" si="52"/>
        <v/>
      </c>
      <c r="H455" s="148" t="str">
        <f t="shared" si="55"/>
        <v/>
      </c>
      <c r="I455" s="148" t="e">
        <f t="shared" si="53"/>
        <v>#VALUE!</v>
      </c>
      <c r="J455" s="148">
        <f>SUM($H$18:$H455)</f>
        <v>0</v>
      </c>
    </row>
    <row r="456" spans="1:10" x14ac:dyDescent="0.2">
      <c r="A456" s="151" t="str">
        <f>IF(Values_Entered,A455+1,"")</f>
        <v/>
      </c>
      <c r="B456" s="150" t="str">
        <f t="shared" si="48"/>
        <v/>
      </c>
      <c r="C456" s="148" t="str">
        <f t="shared" si="54"/>
        <v/>
      </c>
      <c r="D456" s="148" t="str">
        <f t="shared" si="49"/>
        <v/>
      </c>
      <c r="E456" s="149" t="e">
        <f t="shared" si="50"/>
        <v>#VALUE!</v>
      </c>
      <c r="F456" s="148" t="e">
        <f t="shared" si="51"/>
        <v>#VALUE!</v>
      </c>
      <c r="G456" s="148" t="str">
        <f t="shared" si="52"/>
        <v/>
      </c>
      <c r="H456" s="148" t="str">
        <f t="shared" si="55"/>
        <v/>
      </c>
      <c r="I456" s="148" t="e">
        <f t="shared" si="53"/>
        <v>#VALUE!</v>
      </c>
      <c r="J456" s="148">
        <f>SUM($H$18:$H456)</f>
        <v>0</v>
      </c>
    </row>
    <row r="457" spans="1:10" x14ac:dyDescent="0.2">
      <c r="A457" s="151" t="str">
        <f>IF(Values_Entered,A456+1,"")</f>
        <v/>
      </c>
      <c r="B457" s="150" t="str">
        <f t="shared" si="48"/>
        <v/>
      </c>
      <c r="C457" s="148" t="str">
        <f t="shared" si="54"/>
        <v/>
      </c>
      <c r="D457" s="148" t="str">
        <f t="shared" si="49"/>
        <v/>
      </c>
      <c r="E457" s="149" t="e">
        <f t="shared" si="50"/>
        <v>#VALUE!</v>
      </c>
      <c r="F457" s="148" t="e">
        <f t="shared" si="51"/>
        <v>#VALUE!</v>
      </c>
      <c r="G457" s="148" t="str">
        <f t="shared" si="52"/>
        <v/>
      </c>
      <c r="H457" s="148" t="str">
        <f t="shared" si="55"/>
        <v/>
      </c>
      <c r="I457" s="148" t="e">
        <f t="shared" si="53"/>
        <v>#VALUE!</v>
      </c>
      <c r="J457" s="148">
        <f>SUM($H$18:$H457)</f>
        <v>0</v>
      </c>
    </row>
    <row r="458" spans="1:10" x14ac:dyDescent="0.2">
      <c r="A458" s="151" t="str">
        <f>IF(Values_Entered,A457+1,"")</f>
        <v/>
      </c>
      <c r="B458" s="150" t="str">
        <f t="shared" si="48"/>
        <v/>
      </c>
      <c r="C458" s="148" t="str">
        <f t="shared" si="54"/>
        <v/>
      </c>
      <c r="D458" s="148" t="str">
        <f t="shared" si="49"/>
        <v/>
      </c>
      <c r="E458" s="149" t="e">
        <f t="shared" si="50"/>
        <v>#VALUE!</v>
      </c>
      <c r="F458" s="148" t="e">
        <f t="shared" si="51"/>
        <v>#VALUE!</v>
      </c>
      <c r="G458" s="148" t="str">
        <f t="shared" si="52"/>
        <v/>
      </c>
      <c r="H458" s="148" t="str">
        <f t="shared" si="55"/>
        <v/>
      </c>
      <c r="I458" s="148" t="e">
        <f t="shared" si="53"/>
        <v>#VALUE!</v>
      </c>
      <c r="J458" s="148">
        <f>SUM($H$18:$H458)</f>
        <v>0</v>
      </c>
    </row>
    <row r="459" spans="1:10" x14ac:dyDescent="0.2">
      <c r="A459" s="151" t="str">
        <f>IF(Values_Entered,A458+1,"")</f>
        <v/>
      </c>
      <c r="B459" s="150" t="str">
        <f t="shared" si="48"/>
        <v/>
      </c>
      <c r="C459" s="148" t="str">
        <f t="shared" si="54"/>
        <v/>
      </c>
      <c r="D459" s="148" t="str">
        <f t="shared" si="49"/>
        <v/>
      </c>
      <c r="E459" s="149" t="e">
        <f t="shared" si="50"/>
        <v>#VALUE!</v>
      </c>
      <c r="F459" s="148" t="e">
        <f t="shared" si="51"/>
        <v>#VALUE!</v>
      </c>
      <c r="G459" s="148" t="str">
        <f t="shared" si="52"/>
        <v/>
      </c>
      <c r="H459" s="148" t="str">
        <f t="shared" si="55"/>
        <v/>
      </c>
      <c r="I459" s="148" t="e">
        <f t="shared" si="53"/>
        <v>#VALUE!</v>
      </c>
      <c r="J459" s="148">
        <f>SUM($H$18:$H459)</f>
        <v>0</v>
      </c>
    </row>
    <row r="460" spans="1:10" x14ac:dyDescent="0.2">
      <c r="A460" s="151" t="str">
        <f>IF(Values_Entered,A459+1,"")</f>
        <v/>
      </c>
      <c r="B460" s="150" t="str">
        <f t="shared" si="48"/>
        <v/>
      </c>
      <c r="C460" s="148" t="str">
        <f t="shared" si="54"/>
        <v/>
      </c>
      <c r="D460" s="148" t="str">
        <f t="shared" si="49"/>
        <v/>
      </c>
      <c r="E460" s="149" t="e">
        <f t="shared" si="50"/>
        <v>#VALUE!</v>
      </c>
      <c r="F460" s="148" t="e">
        <f t="shared" si="51"/>
        <v>#VALUE!</v>
      </c>
      <c r="G460" s="148" t="str">
        <f t="shared" si="52"/>
        <v/>
      </c>
      <c r="H460" s="148" t="str">
        <f t="shared" si="55"/>
        <v/>
      </c>
      <c r="I460" s="148" t="e">
        <f t="shared" si="53"/>
        <v>#VALUE!</v>
      </c>
      <c r="J460" s="148">
        <f>SUM($H$18:$H460)</f>
        <v>0</v>
      </c>
    </row>
    <row r="461" spans="1:10" x14ac:dyDescent="0.2">
      <c r="A461" s="151" t="str">
        <f>IF(Values_Entered,A460+1,"")</f>
        <v/>
      </c>
      <c r="B461" s="150" t="str">
        <f t="shared" si="48"/>
        <v/>
      </c>
      <c r="C461" s="148" t="str">
        <f t="shared" si="54"/>
        <v/>
      </c>
      <c r="D461" s="148" t="str">
        <f t="shared" si="49"/>
        <v/>
      </c>
      <c r="E461" s="149" t="e">
        <f t="shared" si="50"/>
        <v>#VALUE!</v>
      </c>
      <c r="F461" s="148" t="e">
        <f t="shared" si="51"/>
        <v>#VALUE!</v>
      </c>
      <c r="G461" s="148" t="str">
        <f t="shared" si="52"/>
        <v/>
      </c>
      <c r="H461" s="148" t="str">
        <f t="shared" si="55"/>
        <v/>
      </c>
      <c r="I461" s="148" t="e">
        <f t="shared" si="53"/>
        <v>#VALUE!</v>
      </c>
      <c r="J461" s="148">
        <f>SUM($H$18:$H461)</f>
        <v>0</v>
      </c>
    </row>
    <row r="462" spans="1:10" x14ac:dyDescent="0.2">
      <c r="A462" s="151" t="str">
        <f>IF(Values_Entered,A461+1,"")</f>
        <v/>
      </c>
      <c r="B462" s="150" t="str">
        <f t="shared" si="48"/>
        <v/>
      </c>
      <c r="C462" s="148" t="str">
        <f t="shared" si="54"/>
        <v/>
      </c>
      <c r="D462" s="148" t="str">
        <f t="shared" si="49"/>
        <v/>
      </c>
      <c r="E462" s="149" t="e">
        <f t="shared" si="50"/>
        <v>#VALUE!</v>
      </c>
      <c r="F462" s="148" t="e">
        <f t="shared" si="51"/>
        <v>#VALUE!</v>
      </c>
      <c r="G462" s="148" t="str">
        <f t="shared" si="52"/>
        <v/>
      </c>
      <c r="H462" s="148" t="str">
        <f t="shared" si="55"/>
        <v/>
      </c>
      <c r="I462" s="148" t="e">
        <f t="shared" si="53"/>
        <v>#VALUE!</v>
      </c>
      <c r="J462" s="148">
        <f>SUM($H$18:$H462)</f>
        <v>0</v>
      </c>
    </row>
    <row r="463" spans="1:10" x14ac:dyDescent="0.2">
      <c r="A463" s="151" t="str">
        <f>IF(Values_Entered,A462+1,"")</f>
        <v/>
      </c>
      <c r="B463" s="150" t="str">
        <f t="shared" si="48"/>
        <v/>
      </c>
      <c r="C463" s="148" t="str">
        <f t="shared" si="54"/>
        <v/>
      </c>
      <c r="D463" s="148" t="str">
        <f t="shared" si="49"/>
        <v/>
      </c>
      <c r="E463" s="149" t="e">
        <f t="shared" si="50"/>
        <v>#VALUE!</v>
      </c>
      <c r="F463" s="148" t="e">
        <f t="shared" si="51"/>
        <v>#VALUE!</v>
      </c>
      <c r="G463" s="148" t="str">
        <f t="shared" si="52"/>
        <v/>
      </c>
      <c r="H463" s="148" t="str">
        <f t="shared" si="55"/>
        <v/>
      </c>
      <c r="I463" s="148" t="e">
        <f t="shared" si="53"/>
        <v>#VALUE!</v>
      </c>
      <c r="J463" s="148">
        <f>SUM($H$18:$H463)</f>
        <v>0</v>
      </c>
    </row>
    <row r="464" spans="1:10" x14ac:dyDescent="0.2">
      <c r="A464" s="151" t="str">
        <f>IF(Values_Entered,A463+1,"")</f>
        <v/>
      </c>
      <c r="B464" s="150" t="str">
        <f t="shared" si="48"/>
        <v/>
      </c>
      <c r="C464" s="148" t="str">
        <f t="shared" si="54"/>
        <v/>
      </c>
      <c r="D464" s="148" t="str">
        <f t="shared" si="49"/>
        <v/>
      </c>
      <c r="E464" s="149" t="e">
        <f t="shared" si="50"/>
        <v>#VALUE!</v>
      </c>
      <c r="F464" s="148" t="e">
        <f t="shared" si="51"/>
        <v>#VALUE!</v>
      </c>
      <c r="G464" s="148" t="str">
        <f t="shared" si="52"/>
        <v/>
      </c>
      <c r="H464" s="148" t="str">
        <f t="shared" si="55"/>
        <v/>
      </c>
      <c r="I464" s="148" t="e">
        <f t="shared" si="53"/>
        <v>#VALUE!</v>
      </c>
      <c r="J464" s="148">
        <f>SUM($H$18:$H464)</f>
        <v>0</v>
      </c>
    </row>
    <row r="465" spans="1:10" x14ac:dyDescent="0.2">
      <c r="A465" s="151" t="str">
        <f>IF(Values_Entered,A464+1,"")</f>
        <v/>
      </c>
      <c r="B465" s="150" t="str">
        <f t="shared" si="48"/>
        <v/>
      </c>
      <c r="C465" s="148" t="str">
        <f t="shared" si="54"/>
        <v/>
      </c>
      <c r="D465" s="148" t="str">
        <f t="shared" si="49"/>
        <v/>
      </c>
      <c r="E465" s="149" t="e">
        <f t="shared" si="50"/>
        <v>#VALUE!</v>
      </c>
      <c r="F465" s="148" t="e">
        <f t="shared" si="51"/>
        <v>#VALUE!</v>
      </c>
      <c r="G465" s="148" t="str">
        <f t="shared" si="52"/>
        <v/>
      </c>
      <c r="H465" s="148" t="str">
        <f t="shared" si="55"/>
        <v/>
      </c>
      <c r="I465" s="148" t="e">
        <f t="shared" si="53"/>
        <v>#VALUE!</v>
      </c>
      <c r="J465" s="148">
        <f>SUM($H$18:$H465)</f>
        <v>0</v>
      </c>
    </row>
    <row r="466" spans="1:10" x14ac:dyDescent="0.2">
      <c r="A466" s="151" t="str">
        <f>IF(Values_Entered,A465+1,"")</f>
        <v/>
      </c>
      <c r="B466" s="150" t="str">
        <f t="shared" ref="B466:B497" si="56">IF(Pay_Num&lt;&gt;"",DATE(YEAR(Loan_Start),MONTH(Loan_Start)+(Pay_Num)*12/Num_Pmt_Per_Year,DAY(Loan_Start)),"")</f>
        <v/>
      </c>
      <c r="C466" s="148" t="str">
        <f t="shared" si="54"/>
        <v/>
      </c>
      <c r="D466" s="148" t="str">
        <f t="shared" ref="D466:D497" si="57">IF(Pay_Num&lt;&gt;"",Scheduled_Monthly_Payment,"")</f>
        <v/>
      </c>
      <c r="E466" s="149" t="e">
        <f t="shared" ref="E466:E497" si="58">IF(AND(Pay_Num&lt;&gt;"",Sched_Pay+Scheduled_Extra_Payments&lt;Beg_Bal),Scheduled_Extra_Payments,IF(AND(Pay_Num&lt;&gt;"",Beg_Bal-Sched_Pay&gt;0),Beg_Bal-Sched_Pay,IF(Pay_Num&lt;&gt;"",0,"")))</f>
        <v>#VALUE!</v>
      </c>
      <c r="F466" s="148" t="e">
        <f t="shared" ref="F466:F497" si="59">IF(AND(Pay_Num&lt;&gt;"",Sched_Pay+Extra_Pay&lt;Beg_Bal),Sched_Pay+Extra_Pay,IF(Pay_Num&lt;&gt;"",Beg_Bal,""))</f>
        <v>#VALUE!</v>
      </c>
      <c r="G466" s="148" t="str">
        <f t="shared" ref="G466:G497" si="60">IF(Pay_Num&lt;&gt;"",Total_Pay-Int,"")</f>
        <v/>
      </c>
      <c r="H466" s="148" t="str">
        <f t="shared" si="55"/>
        <v/>
      </c>
      <c r="I466" s="148" t="e">
        <f t="shared" ref="I466:I497" si="61">IF(AND(Pay_Num&lt;&gt;"",Sched_Pay+Extra_Pay&lt;Beg_Bal),Beg_Bal-Princ,IF(Pay_Num&lt;&gt;"",0,""))</f>
        <v>#VALUE!</v>
      </c>
      <c r="J466" s="148">
        <f>SUM($H$18:$H466)</f>
        <v>0</v>
      </c>
    </row>
    <row r="467" spans="1:10" x14ac:dyDescent="0.2">
      <c r="A467" s="151" t="str">
        <f>IF(Values_Entered,A466+1,"")</f>
        <v/>
      </c>
      <c r="B467" s="150" t="str">
        <f t="shared" si="56"/>
        <v/>
      </c>
      <c r="C467" s="148" t="str">
        <f t="shared" ref="C467:C497" si="62">IF(Pay_Num&lt;&gt;"",I466,"")</f>
        <v/>
      </c>
      <c r="D467" s="148" t="str">
        <f t="shared" si="57"/>
        <v/>
      </c>
      <c r="E467" s="149" t="e">
        <f t="shared" si="58"/>
        <v>#VALUE!</v>
      </c>
      <c r="F467" s="148" t="e">
        <f t="shared" si="59"/>
        <v>#VALUE!</v>
      </c>
      <c r="G467" s="148" t="str">
        <f t="shared" si="60"/>
        <v/>
      </c>
      <c r="H467" s="148" t="str">
        <f t="shared" ref="H467:H497" si="63">IF(Pay_Num&lt;&gt;"",Beg_Bal*Interest_Rate/Num_Pmt_Per_Year,"")</f>
        <v/>
      </c>
      <c r="I467" s="148" t="e">
        <f t="shared" si="61"/>
        <v>#VALUE!</v>
      </c>
      <c r="J467" s="148">
        <f>SUM($H$18:$H467)</f>
        <v>0</v>
      </c>
    </row>
    <row r="468" spans="1:10" x14ac:dyDescent="0.2">
      <c r="A468" s="151" t="str">
        <f>IF(Values_Entered,A467+1,"")</f>
        <v/>
      </c>
      <c r="B468" s="150" t="str">
        <f t="shared" si="56"/>
        <v/>
      </c>
      <c r="C468" s="148" t="str">
        <f t="shared" si="62"/>
        <v/>
      </c>
      <c r="D468" s="148" t="str">
        <f t="shared" si="57"/>
        <v/>
      </c>
      <c r="E468" s="149" t="e">
        <f t="shared" si="58"/>
        <v>#VALUE!</v>
      </c>
      <c r="F468" s="148" t="e">
        <f t="shared" si="59"/>
        <v>#VALUE!</v>
      </c>
      <c r="G468" s="148" t="str">
        <f t="shared" si="60"/>
        <v/>
      </c>
      <c r="H468" s="148" t="str">
        <f t="shared" si="63"/>
        <v/>
      </c>
      <c r="I468" s="148" t="e">
        <f t="shared" si="61"/>
        <v>#VALUE!</v>
      </c>
      <c r="J468" s="148">
        <f>SUM($H$18:$H468)</f>
        <v>0</v>
      </c>
    </row>
    <row r="469" spans="1:10" x14ac:dyDescent="0.2">
      <c r="A469" s="151" t="str">
        <f>IF(Values_Entered,A468+1,"")</f>
        <v/>
      </c>
      <c r="B469" s="150" t="str">
        <f t="shared" si="56"/>
        <v/>
      </c>
      <c r="C469" s="148" t="str">
        <f t="shared" si="62"/>
        <v/>
      </c>
      <c r="D469" s="148" t="str">
        <f t="shared" si="57"/>
        <v/>
      </c>
      <c r="E469" s="149" t="e">
        <f t="shared" si="58"/>
        <v>#VALUE!</v>
      </c>
      <c r="F469" s="148" t="e">
        <f t="shared" si="59"/>
        <v>#VALUE!</v>
      </c>
      <c r="G469" s="148" t="str">
        <f t="shared" si="60"/>
        <v/>
      </c>
      <c r="H469" s="148" t="str">
        <f t="shared" si="63"/>
        <v/>
      </c>
      <c r="I469" s="148" t="e">
        <f t="shared" si="61"/>
        <v>#VALUE!</v>
      </c>
      <c r="J469" s="148">
        <f>SUM($H$18:$H469)</f>
        <v>0</v>
      </c>
    </row>
    <row r="470" spans="1:10" x14ac:dyDescent="0.2">
      <c r="A470" s="151" t="str">
        <f>IF(Values_Entered,A469+1,"")</f>
        <v/>
      </c>
      <c r="B470" s="150" t="str">
        <f t="shared" si="56"/>
        <v/>
      </c>
      <c r="C470" s="148" t="str">
        <f t="shared" si="62"/>
        <v/>
      </c>
      <c r="D470" s="148" t="str">
        <f t="shared" si="57"/>
        <v/>
      </c>
      <c r="E470" s="149" t="e">
        <f t="shared" si="58"/>
        <v>#VALUE!</v>
      </c>
      <c r="F470" s="148" t="e">
        <f t="shared" si="59"/>
        <v>#VALUE!</v>
      </c>
      <c r="G470" s="148" t="str">
        <f t="shared" si="60"/>
        <v/>
      </c>
      <c r="H470" s="148" t="str">
        <f t="shared" si="63"/>
        <v/>
      </c>
      <c r="I470" s="148" t="e">
        <f t="shared" si="61"/>
        <v>#VALUE!</v>
      </c>
      <c r="J470" s="148">
        <f>SUM($H$18:$H470)</f>
        <v>0</v>
      </c>
    </row>
    <row r="471" spans="1:10" x14ac:dyDescent="0.2">
      <c r="A471" s="151" t="str">
        <f>IF(Values_Entered,A470+1,"")</f>
        <v/>
      </c>
      <c r="B471" s="150" t="str">
        <f t="shared" si="56"/>
        <v/>
      </c>
      <c r="C471" s="148" t="str">
        <f t="shared" si="62"/>
        <v/>
      </c>
      <c r="D471" s="148" t="str">
        <f t="shared" si="57"/>
        <v/>
      </c>
      <c r="E471" s="149" t="e">
        <f t="shared" si="58"/>
        <v>#VALUE!</v>
      </c>
      <c r="F471" s="148" t="e">
        <f t="shared" si="59"/>
        <v>#VALUE!</v>
      </c>
      <c r="G471" s="148" t="str">
        <f t="shared" si="60"/>
        <v/>
      </c>
      <c r="H471" s="148" t="str">
        <f t="shared" si="63"/>
        <v/>
      </c>
      <c r="I471" s="148" t="e">
        <f t="shared" si="61"/>
        <v>#VALUE!</v>
      </c>
      <c r="J471" s="148">
        <f>SUM($H$18:$H471)</f>
        <v>0</v>
      </c>
    </row>
    <row r="472" spans="1:10" x14ac:dyDescent="0.2">
      <c r="A472" s="151" t="str">
        <f>IF(Values_Entered,A471+1,"")</f>
        <v/>
      </c>
      <c r="B472" s="150" t="str">
        <f t="shared" si="56"/>
        <v/>
      </c>
      <c r="C472" s="148" t="str">
        <f t="shared" si="62"/>
        <v/>
      </c>
      <c r="D472" s="148" t="str">
        <f t="shared" si="57"/>
        <v/>
      </c>
      <c r="E472" s="149" t="e">
        <f t="shared" si="58"/>
        <v>#VALUE!</v>
      </c>
      <c r="F472" s="148" t="e">
        <f t="shared" si="59"/>
        <v>#VALUE!</v>
      </c>
      <c r="G472" s="148" t="str">
        <f t="shared" si="60"/>
        <v/>
      </c>
      <c r="H472" s="148" t="str">
        <f t="shared" si="63"/>
        <v/>
      </c>
      <c r="I472" s="148" t="e">
        <f t="shared" si="61"/>
        <v>#VALUE!</v>
      </c>
      <c r="J472" s="148">
        <f>SUM($H$18:$H472)</f>
        <v>0</v>
      </c>
    </row>
    <row r="473" spans="1:10" x14ac:dyDescent="0.2">
      <c r="A473" s="151" t="str">
        <f>IF(Values_Entered,A472+1,"")</f>
        <v/>
      </c>
      <c r="B473" s="150" t="str">
        <f t="shared" si="56"/>
        <v/>
      </c>
      <c r="C473" s="148" t="str">
        <f t="shared" si="62"/>
        <v/>
      </c>
      <c r="D473" s="148" t="str">
        <f t="shared" si="57"/>
        <v/>
      </c>
      <c r="E473" s="149" t="e">
        <f t="shared" si="58"/>
        <v>#VALUE!</v>
      </c>
      <c r="F473" s="148" t="e">
        <f t="shared" si="59"/>
        <v>#VALUE!</v>
      </c>
      <c r="G473" s="148" t="str">
        <f t="shared" si="60"/>
        <v/>
      </c>
      <c r="H473" s="148" t="str">
        <f t="shared" si="63"/>
        <v/>
      </c>
      <c r="I473" s="148" t="e">
        <f t="shared" si="61"/>
        <v>#VALUE!</v>
      </c>
      <c r="J473" s="148">
        <f>SUM($H$18:$H473)</f>
        <v>0</v>
      </c>
    </row>
    <row r="474" spans="1:10" x14ac:dyDescent="0.2">
      <c r="A474" s="151" t="str">
        <f>IF(Values_Entered,A473+1,"")</f>
        <v/>
      </c>
      <c r="B474" s="150" t="str">
        <f t="shared" si="56"/>
        <v/>
      </c>
      <c r="C474" s="148" t="str">
        <f t="shared" si="62"/>
        <v/>
      </c>
      <c r="D474" s="148" t="str">
        <f t="shared" si="57"/>
        <v/>
      </c>
      <c r="E474" s="149" t="e">
        <f t="shared" si="58"/>
        <v>#VALUE!</v>
      </c>
      <c r="F474" s="148" t="e">
        <f t="shared" si="59"/>
        <v>#VALUE!</v>
      </c>
      <c r="G474" s="148" t="str">
        <f t="shared" si="60"/>
        <v/>
      </c>
      <c r="H474" s="148" t="str">
        <f t="shared" si="63"/>
        <v/>
      </c>
      <c r="I474" s="148" t="e">
        <f t="shared" si="61"/>
        <v>#VALUE!</v>
      </c>
      <c r="J474" s="148">
        <f>SUM($H$18:$H474)</f>
        <v>0</v>
      </c>
    </row>
    <row r="475" spans="1:10" x14ac:dyDescent="0.2">
      <c r="A475" s="151" t="str">
        <f>IF(Values_Entered,A474+1,"")</f>
        <v/>
      </c>
      <c r="B475" s="150" t="str">
        <f t="shared" si="56"/>
        <v/>
      </c>
      <c r="C475" s="148" t="str">
        <f t="shared" si="62"/>
        <v/>
      </c>
      <c r="D475" s="148" t="str">
        <f t="shared" si="57"/>
        <v/>
      </c>
      <c r="E475" s="149" t="e">
        <f t="shared" si="58"/>
        <v>#VALUE!</v>
      </c>
      <c r="F475" s="148" t="e">
        <f t="shared" si="59"/>
        <v>#VALUE!</v>
      </c>
      <c r="G475" s="148" t="str">
        <f t="shared" si="60"/>
        <v/>
      </c>
      <c r="H475" s="148" t="str">
        <f t="shared" si="63"/>
        <v/>
      </c>
      <c r="I475" s="148" t="e">
        <f t="shared" si="61"/>
        <v>#VALUE!</v>
      </c>
      <c r="J475" s="148">
        <f>SUM($H$18:$H475)</f>
        <v>0</v>
      </c>
    </row>
    <row r="476" spans="1:10" x14ac:dyDescent="0.2">
      <c r="A476" s="151" t="str">
        <f>IF(Values_Entered,A475+1,"")</f>
        <v/>
      </c>
      <c r="B476" s="150" t="str">
        <f t="shared" si="56"/>
        <v/>
      </c>
      <c r="C476" s="148" t="str">
        <f t="shared" si="62"/>
        <v/>
      </c>
      <c r="D476" s="148" t="str">
        <f t="shared" si="57"/>
        <v/>
      </c>
      <c r="E476" s="149" t="e">
        <f t="shared" si="58"/>
        <v>#VALUE!</v>
      </c>
      <c r="F476" s="148" t="e">
        <f t="shared" si="59"/>
        <v>#VALUE!</v>
      </c>
      <c r="G476" s="148" t="str">
        <f t="shared" si="60"/>
        <v/>
      </c>
      <c r="H476" s="148" t="str">
        <f t="shared" si="63"/>
        <v/>
      </c>
      <c r="I476" s="148" t="e">
        <f t="shared" si="61"/>
        <v>#VALUE!</v>
      </c>
      <c r="J476" s="148">
        <f>SUM($H$18:$H476)</f>
        <v>0</v>
      </c>
    </row>
    <row r="477" spans="1:10" x14ac:dyDescent="0.2">
      <c r="A477" s="151" t="str">
        <f>IF(Values_Entered,A476+1,"")</f>
        <v/>
      </c>
      <c r="B477" s="150" t="str">
        <f t="shared" si="56"/>
        <v/>
      </c>
      <c r="C477" s="148" t="str">
        <f t="shared" si="62"/>
        <v/>
      </c>
      <c r="D477" s="148" t="str">
        <f t="shared" si="57"/>
        <v/>
      </c>
      <c r="E477" s="149" t="e">
        <f t="shared" si="58"/>
        <v>#VALUE!</v>
      </c>
      <c r="F477" s="148" t="e">
        <f t="shared" si="59"/>
        <v>#VALUE!</v>
      </c>
      <c r="G477" s="148" t="str">
        <f t="shared" si="60"/>
        <v/>
      </c>
      <c r="H477" s="148" t="str">
        <f t="shared" si="63"/>
        <v/>
      </c>
      <c r="I477" s="148" t="e">
        <f t="shared" si="61"/>
        <v>#VALUE!</v>
      </c>
      <c r="J477" s="148">
        <f>SUM($H$18:$H477)</f>
        <v>0</v>
      </c>
    </row>
    <row r="478" spans="1:10" x14ac:dyDescent="0.2">
      <c r="A478" s="151" t="str">
        <f>IF(Values_Entered,A477+1,"")</f>
        <v/>
      </c>
      <c r="B478" s="150" t="str">
        <f t="shared" si="56"/>
        <v/>
      </c>
      <c r="C478" s="148" t="str">
        <f t="shared" si="62"/>
        <v/>
      </c>
      <c r="D478" s="148" t="str">
        <f t="shared" si="57"/>
        <v/>
      </c>
      <c r="E478" s="149" t="e">
        <f t="shared" si="58"/>
        <v>#VALUE!</v>
      </c>
      <c r="F478" s="148" t="e">
        <f t="shared" si="59"/>
        <v>#VALUE!</v>
      </c>
      <c r="G478" s="148" t="str">
        <f t="shared" si="60"/>
        <v/>
      </c>
      <c r="H478" s="148" t="str">
        <f t="shared" si="63"/>
        <v/>
      </c>
      <c r="I478" s="148" t="e">
        <f t="shared" si="61"/>
        <v>#VALUE!</v>
      </c>
      <c r="J478" s="148">
        <f>SUM($H$18:$H478)</f>
        <v>0</v>
      </c>
    </row>
    <row r="479" spans="1:10" x14ac:dyDescent="0.2">
      <c r="A479" s="151" t="str">
        <f>IF(Values_Entered,A478+1,"")</f>
        <v/>
      </c>
      <c r="B479" s="150" t="str">
        <f t="shared" si="56"/>
        <v/>
      </c>
      <c r="C479" s="148" t="str">
        <f t="shared" si="62"/>
        <v/>
      </c>
      <c r="D479" s="148" t="str">
        <f t="shared" si="57"/>
        <v/>
      </c>
      <c r="E479" s="149" t="e">
        <f t="shared" si="58"/>
        <v>#VALUE!</v>
      </c>
      <c r="F479" s="148" t="e">
        <f t="shared" si="59"/>
        <v>#VALUE!</v>
      </c>
      <c r="G479" s="148" t="str">
        <f t="shared" si="60"/>
        <v/>
      </c>
      <c r="H479" s="148" t="str">
        <f t="shared" si="63"/>
        <v/>
      </c>
      <c r="I479" s="148" t="e">
        <f t="shared" si="61"/>
        <v>#VALUE!</v>
      </c>
      <c r="J479" s="148">
        <f>SUM($H$18:$H479)</f>
        <v>0</v>
      </c>
    </row>
    <row r="480" spans="1:10" x14ac:dyDescent="0.2">
      <c r="A480" s="151" t="str">
        <f>IF(Values_Entered,A479+1,"")</f>
        <v/>
      </c>
      <c r="B480" s="150" t="str">
        <f t="shared" si="56"/>
        <v/>
      </c>
      <c r="C480" s="148" t="str">
        <f t="shared" si="62"/>
        <v/>
      </c>
      <c r="D480" s="148" t="str">
        <f t="shared" si="57"/>
        <v/>
      </c>
      <c r="E480" s="149" t="e">
        <f t="shared" si="58"/>
        <v>#VALUE!</v>
      </c>
      <c r="F480" s="148" t="e">
        <f t="shared" si="59"/>
        <v>#VALUE!</v>
      </c>
      <c r="G480" s="148" t="str">
        <f t="shared" si="60"/>
        <v/>
      </c>
      <c r="H480" s="148" t="str">
        <f t="shared" si="63"/>
        <v/>
      </c>
      <c r="I480" s="148" t="e">
        <f t="shared" si="61"/>
        <v>#VALUE!</v>
      </c>
      <c r="J480" s="148">
        <f>SUM($H$18:$H480)</f>
        <v>0</v>
      </c>
    </row>
    <row r="481" spans="1:10" x14ac:dyDescent="0.2">
      <c r="A481" s="151" t="str">
        <f>IF(Values_Entered,A480+1,"")</f>
        <v/>
      </c>
      <c r="B481" s="150" t="str">
        <f t="shared" si="56"/>
        <v/>
      </c>
      <c r="C481" s="148" t="str">
        <f t="shared" si="62"/>
        <v/>
      </c>
      <c r="D481" s="148" t="str">
        <f t="shared" si="57"/>
        <v/>
      </c>
      <c r="E481" s="149" t="e">
        <f t="shared" si="58"/>
        <v>#VALUE!</v>
      </c>
      <c r="F481" s="148" t="e">
        <f t="shared" si="59"/>
        <v>#VALUE!</v>
      </c>
      <c r="G481" s="148" t="str">
        <f t="shared" si="60"/>
        <v/>
      </c>
      <c r="H481" s="148" t="str">
        <f t="shared" si="63"/>
        <v/>
      </c>
      <c r="I481" s="148" t="e">
        <f t="shared" si="61"/>
        <v>#VALUE!</v>
      </c>
      <c r="J481" s="148">
        <f>SUM($H$18:$H481)</f>
        <v>0</v>
      </c>
    </row>
    <row r="482" spans="1:10" x14ac:dyDescent="0.2">
      <c r="A482" s="151" t="str">
        <f>IF(Values_Entered,A481+1,"")</f>
        <v/>
      </c>
      <c r="B482" s="150" t="str">
        <f t="shared" si="56"/>
        <v/>
      </c>
      <c r="C482" s="148" t="str">
        <f t="shared" si="62"/>
        <v/>
      </c>
      <c r="D482" s="148" t="str">
        <f t="shared" si="57"/>
        <v/>
      </c>
      <c r="E482" s="149" t="e">
        <f t="shared" si="58"/>
        <v>#VALUE!</v>
      </c>
      <c r="F482" s="148" t="e">
        <f t="shared" si="59"/>
        <v>#VALUE!</v>
      </c>
      <c r="G482" s="148" t="str">
        <f t="shared" si="60"/>
        <v/>
      </c>
      <c r="H482" s="148" t="str">
        <f t="shared" si="63"/>
        <v/>
      </c>
      <c r="I482" s="148" t="e">
        <f t="shared" si="61"/>
        <v>#VALUE!</v>
      </c>
      <c r="J482" s="148">
        <f>SUM($H$18:$H482)</f>
        <v>0</v>
      </c>
    </row>
    <row r="483" spans="1:10" x14ac:dyDescent="0.2">
      <c r="A483" s="151" t="str">
        <f>IF(Values_Entered,A482+1,"")</f>
        <v/>
      </c>
      <c r="B483" s="150" t="str">
        <f t="shared" si="56"/>
        <v/>
      </c>
      <c r="C483" s="148" t="str">
        <f t="shared" si="62"/>
        <v/>
      </c>
      <c r="D483" s="148" t="str">
        <f t="shared" si="57"/>
        <v/>
      </c>
      <c r="E483" s="149" t="e">
        <f t="shared" si="58"/>
        <v>#VALUE!</v>
      </c>
      <c r="F483" s="148" t="e">
        <f t="shared" si="59"/>
        <v>#VALUE!</v>
      </c>
      <c r="G483" s="148" t="str">
        <f t="shared" si="60"/>
        <v/>
      </c>
      <c r="H483" s="148" t="str">
        <f t="shared" si="63"/>
        <v/>
      </c>
      <c r="I483" s="148" t="e">
        <f t="shared" si="61"/>
        <v>#VALUE!</v>
      </c>
      <c r="J483" s="148">
        <f>SUM($H$18:$H483)</f>
        <v>0</v>
      </c>
    </row>
    <row r="484" spans="1:10" x14ac:dyDescent="0.2">
      <c r="A484" s="151" t="str">
        <f>IF(Values_Entered,A483+1,"")</f>
        <v/>
      </c>
      <c r="B484" s="150" t="str">
        <f t="shared" si="56"/>
        <v/>
      </c>
      <c r="C484" s="148" t="str">
        <f t="shared" si="62"/>
        <v/>
      </c>
      <c r="D484" s="148" t="str">
        <f t="shared" si="57"/>
        <v/>
      </c>
      <c r="E484" s="149" t="e">
        <f t="shared" si="58"/>
        <v>#VALUE!</v>
      </c>
      <c r="F484" s="148" t="e">
        <f t="shared" si="59"/>
        <v>#VALUE!</v>
      </c>
      <c r="G484" s="148" t="str">
        <f t="shared" si="60"/>
        <v/>
      </c>
      <c r="H484" s="148" t="str">
        <f t="shared" si="63"/>
        <v/>
      </c>
      <c r="I484" s="148" t="e">
        <f t="shared" si="61"/>
        <v>#VALUE!</v>
      </c>
      <c r="J484" s="148">
        <f>SUM($H$18:$H484)</f>
        <v>0</v>
      </c>
    </row>
    <row r="485" spans="1:10" x14ac:dyDescent="0.2">
      <c r="A485" s="151" t="str">
        <f>IF(Values_Entered,A484+1,"")</f>
        <v/>
      </c>
      <c r="B485" s="150" t="str">
        <f t="shared" si="56"/>
        <v/>
      </c>
      <c r="C485" s="148" t="str">
        <f t="shared" si="62"/>
        <v/>
      </c>
      <c r="D485" s="148" t="str">
        <f t="shared" si="57"/>
        <v/>
      </c>
      <c r="E485" s="149" t="e">
        <f t="shared" si="58"/>
        <v>#VALUE!</v>
      </c>
      <c r="F485" s="148" t="e">
        <f t="shared" si="59"/>
        <v>#VALUE!</v>
      </c>
      <c r="G485" s="148" t="str">
        <f t="shared" si="60"/>
        <v/>
      </c>
      <c r="H485" s="148" t="str">
        <f t="shared" si="63"/>
        <v/>
      </c>
      <c r="I485" s="148" t="e">
        <f t="shared" si="61"/>
        <v>#VALUE!</v>
      </c>
      <c r="J485" s="148">
        <f>SUM($H$18:$H485)</f>
        <v>0</v>
      </c>
    </row>
    <row r="486" spans="1:10" x14ac:dyDescent="0.2">
      <c r="A486" s="151" t="str">
        <f>IF(Values_Entered,A485+1,"")</f>
        <v/>
      </c>
      <c r="B486" s="150" t="str">
        <f t="shared" si="56"/>
        <v/>
      </c>
      <c r="C486" s="148" t="str">
        <f t="shared" si="62"/>
        <v/>
      </c>
      <c r="D486" s="148" t="str">
        <f t="shared" si="57"/>
        <v/>
      </c>
      <c r="E486" s="149" t="e">
        <f t="shared" si="58"/>
        <v>#VALUE!</v>
      </c>
      <c r="F486" s="148" t="e">
        <f t="shared" si="59"/>
        <v>#VALUE!</v>
      </c>
      <c r="G486" s="148" t="str">
        <f t="shared" si="60"/>
        <v/>
      </c>
      <c r="H486" s="148" t="str">
        <f t="shared" si="63"/>
        <v/>
      </c>
      <c r="I486" s="148" t="e">
        <f t="shared" si="61"/>
        <v>#VALUE!</v>
      </c>
      <c r="J486" s="148">
        <f>SUM($H$18:$H486)</f>
        <v>0</v>
      </c>
    </row>
    <row r="487" spans="1:10" x14ac:dyDescent="0.2">
      <c r="A487" s="151" t="str">
        <f>IF(Values_Entered,A486+1,"")</f>
        <v/>
      </c>
      <c r="B487" s="150" t="str">
        <f t="shared" si="56"/>
        <v/>
      </c>
      <c r="C487" s="148" t="str">
        <f t="shared" si="62"/>
        <v/>
      </c>
      <c r="D487" s="148" t="str">
        <f t="shared" si="57"/>
        <v/>
      </c>
      <c r="E487" s="149" t="e">
        <f t="shared" si="58"/>
        <v>#VALUE!</v>
      </c>
      <c r="F487" s="148" t="e">
        <f t="shared" si="59"/>
        <v>#VALUE!</v>
      </c>
      <c r="G487" s="148" t="str">
        <f t="shared" si="60"/>
        <v/>
      </c>
      <c r="H487" s="148" t="str">
        <f t="shared" si="63"/>
        <v/>
      </c>
      <c r="I487" s="148" t="e">
        <f t="shared" si="61"/>
        <v>#VALUE!</v>
      </c>
      <c r="J487" s="148">
        <f>SUM($H$18:$H487)</f>
        <v>0</v>
      </c>
    </row>
    <row r="488" spans="1:10" x14ac:dyDescent="0.2">
      <c r="A488" s="151" t="str">
        <f>IF(Values_Entered,A487+1,"")</f>
        <v/>
      </c>
      <c r="B488" s="150" t="str">
        <f t="shared" si="56"/>
        <v/>
      </c>
      <c r="C488" s="148" t="str">
        <f t="shared" si="62"/>
        <v/>
      </c>
      <c r="D488" s="148" t="str">
        <f t="shared" si="57"/>
        <v/>
      </c>
      <c r="E488" s="149" t="e">
        <f t="shared" si="58"/>
        <v>#VALUE!</v>
      </c>
      <c r="F488" s="148" t="e">
        <f t="shared" si="59"/>
        <v>#VALUE!</v>
      </c>
      <c r="G488" s="148" t="str">
        <f t="shared" si="60"/>
        <v/>
      </c>
      <c r="H488" s="148" t="str">
        <f t="shared" si="63"/>
        <v/>
      </c>
      <c r="I488" s="148" t="e">
        <f t="shared" si="61"/>
        <v>#VALUE!</v>
      </c>
      <c r="J488" s="148">
        <f>SUM($H$18:$H488)</f>
        <v>0</v>
      </c>
    </row>
    <row r="489" spans="1:10" x14ac:dyDescent="0.2">
      <c r="A489" s="151" t="str">
        <f>IF(Values_Entered,A488+1,"")</f>
        <v/>
      </c>
      <c r="B489" s="150" t="str">
        <f t="shared" si="56"/>
        <v/>
      </c>
      <c r="C489" s="148" t="str">
        <f t="shared" si="62"/>
        <v/>
      </c>
      <c r="D489" s="148" t="str">
        <f t="shared" si="57"/>
        <v/>
      </c>
      <c r="E489" s="149" t="e">
        <f t="shared" si="58"/>
        <v>#VALUE!</v>
      </c>
      <c r="F489" s="148" t="e">
        <f t="shared" si="59"/>
        <v>#VALUE!</v>
      </c>
      <c r="G489" s="148" t="str">
        <f t="shared" si="60"/>
        <v/>
      </c>
      <c r="H489" s="148" t="str">
        <f t="shared" si="63"/>
        <v/>
      </c>
      <c r="I489" s="148" t="e">
        <f t="shared" si="61"/>
        <v>#VALUE!</v>
      </c>
      <c r="J489" s="148">
        <f>SUM($H$18:$H489)</f>
        <v>0</v>
      </c>
    </row>
    <row r="490" spans="1:10" x14ac:dyDescent="0.2">
      <c r="A490" s="151" t="str">
        <f>IF(Values_Entered,A489+1,"")</f>
        <v/>
      </c>
      <c r="B490" s="150" t="str">
        <f t="shared" si="56"/>
        <v/>
      </c>
      <c r="C490" s="148" t="str">
        <f t="shared" si="62"/>
        <v/>
      </c>
      <c r="D490" s="148" t="str">
        <f t="shared" si="57"/>
        <v/>
      </c>
      <c r="E490" s="149" t="e">
        <f t="shared" si="58"/>
        <v>#VALUE!</v>
      </c>
      <c r="F490" s="148" t="e">
        <f t="shared" si="59"/>
        <v>#VALUE!</v>
      </c>
      <c r="G490" s="148" t="str">
        <f t="shared" si="60"/>
        <v/>
      </c>
      <c r="H490" s="148" t="str">
        <f t="shared" si="63"/>
        <v/>
      </c>
      <c r="I490" s="148" t="e">
        <f t="shared" si="61"/>
        <v>#VALUE!</v>
      </c>
      <c r="J490" s="148">
        <f>SUM($H$18:$H490)</f>
        <v>0</v>
      </c>
    </row>
    <row r="491" spans="1:10" x14ac:dyDescent="0.2">
      <c r="A491" s="151" t="str">
        <f>IF(Values_Entered,A490+1,"")</f>
        <v/>
      </c>
      <c r="B491" s="150" t="str">
        <f t="shared" si="56"/>
        <v/>
      </c>
      <c r="C491" s="148" t="str">
        <f t="shared" si="62"/>
        <v/>
      </c>
      <c r="D491" s="148" t="str">
        <f t="shared" si="57"/>
        <v/>
      </c>
      <c r="E491" s="149" t="e">
        <f t="shared" si="58"/>
        <v>#VALUE!</v>
      </c>
      <c r="F491" s="148" t="e">
        <f t="shared" si="59"/>
        <v>#VALUE!</v>
      </c>
      <c r="G491" s="148" t="str">
        <f t="shared" si="60"/>
        <v/>
      </c>
      <c r="H491" s="148" t="str">
        <f t="shared" si="63"/>
        <v/>
      </c>
      <c r="I491" s="148" t="e">
        <f t="shared" si="61"/>
        <v>#VALUE!</v>
      </c>
      <c r="J491" s="148">
        <f>SUM($H$18:$H491)</f>
        <v>0</v>
      </c>
    </row>
    <row r="492" spans="1:10" x14ac:dyDescent="0.2">
      <c r="A492" s="151" t="str">
        <f>IF(Values_Entered,A491+1,"")</f>
        <v/>
      </c>
      <c r="B492" s="150" t="str">
        <f t="shared" si="56"/>
        <v/>
      </c>
      <c r="C492" s="148" t="str">
        <f t="shared" si="62"/>
        <v/>
      </c>
      <c r="D492" s="148" t="str">
        <f t="shared" si="57"/>
        <v/>
      </c>
      <c r="E492" s="149" t="e">
        <f t="shared" si="58"/>
        <v>#VALUE!</v>
      </c>
      <c r="F492" s="148" t="e">
        <f t="shared" si="59"/>
        <v>#VALUE!</v>
      </c>
      <c r="G492" s="148" t="str">
        <f t="shared" si="60"/>
        <v/>
      </c>
      <c r="H492" s="148" t="str">
        <f t="shared" si="63"/>
        <v/>
      </c>
      <c r="I492" s="148" t="e">
        <f t="shared" si="61"/>
        <v>#VALUE!</v>
      </c>
      <c r="J492" s="148">
        <f>SUM($H$18:$H492)</f>
        <v>0</v>
      </c>
    </row>
    <row r="493" spans="1:10" x14ac:dyDescent="0.2">
      <c r="A493" s="151" t="str">
        <f>IF(Values_Entered,A492+1,"")</f>
        <v/>
      </c>
      <c r="B493" s="150" t="str">
        <f t="shared" si="56"/>
        <v/>
      </c>
      <c r="C493" s="148" t="str">
        <f t="shared" si="62"/>
        <v/>
      </c>
      <c r="D493" s="148" t="str">
        <f t="shared" si="57"/>
        <v/>
      </c>
      <c r="E493" s="149" t="e">
        <f t="shared" si="58"/>
        <v>#VALUE!</v>
      </c>
      <c r="F493" s="148" t="e">
        <f t="shared" si="59"/>
        <v>#VALUE!</v>
      </c>
      <c r="G493" s="148" t="str">
        <f t="shared" si="60"/>
        <v/>
      </c>
      <c r="H493" s="148" t="str">
        <f t="shared" si="63"/>
        <v/>
      </c>
      <c r="I493" s="148" t="e">
        <f t="shared" si="61"/>
        <v>#VALUE!</v>
      </c>
      <c r="J493" s="148">
        <f>SUM($H$18:$H493)</f>
        <v>0</v>
      </c>
    </row>
    <row r="494" spans="1:10" x14ac:dyDescent="0.2">
      <c r="A494" s="151" t="str">
        <f>IF(Values_Entered,A493+1,"")</f>
        <v/>
      </c>
      <c r="B494" s="150" t="str">
        <f t="shared" si="56"/>
        <v/>
      </c>
      <c r="C494" s="148" t="str">
        <f t="shared" si="62"/>
        <v/>
      </c>
      <c r="D494" s="148" t="str">
        <f t="shared" si="57"/>
        <v/>
      </c>
      <c r="E494" s="149" t="e">
        <f t="shared" si="58"/>
        <v>#VALUE!</v>
      </c>
      <c r="F494" s="148" t="e">
        <f t="shared" si="59"/>
        <v>#VALUE!</v>
      </c>
      <c r="G494" s="148" t="str">
        <f t="shared" si="60"/>
        <v/>
      </c>
      <c r="H494" s="148" t="str">
        <f t="shared" si="63"/>
        <v/>
      </c>
      <c r="I494" s="148" t="e">
        <f t="shared" si="61"/>
        <v>#VALUE!</v>
      </c>
      <c r="J494" s="148">
        <f>SUM($H$18:$H494)</f>
        <v>0</v>
      </c>
    </row>
    <row r="495" spans="1:10" x14ac:dyDescent="0.2">
      <c r="A495" s="151" t="str">
        <f>IF(Values_Entered,A494+1,"")</f>
        <v/>
      </c>
      <c r="B495" s="150" t="str">
        <f t="shared" si="56"/>
        <v/>
      </c>
      <c r="C495" s="148" t="str">
        <f t="shared" si="62"/>
        <v/>
      </c>
      <c r="D495" s="148" t="str">
        <f t="shared" si="57"/>
        <v/>
      </c>
      <c r="E495" s="149" t="e">
        <f t="shared" si="58"/>
        <v>#VALUE!</v>
      </c>
      <c r="F495" s="148" t="e">
        <f t="shared" si="59"/>
        <v>#VALUE!</v>
      </c>
      <c r="G495" s="148" t="str">
        <f t="shared" si="60"/>
        <v/>
      </c>
      <c r="H495" s="148" t="str">
        <f t="shared" si="63"/>
        <v/>
      </c>
      <c r="I495" s="148" t="e">
        <f t="shared" si="61"/>
        <v>#VALUE!</v>
      </c>
      <c r="J495" s="148">
        <f>SUM($H$18:$H495)</f>
        <v>0</v>
      </c>
    </row>
    <row r="496" spans="1:10" x14ac:dyDescent="0.2">
      <c r="A496" s="151" t="str">
        <f>IF(Values_Entered,A495+1,"")</f>
        <v/>
      </c>
      <c r="B496" s="150" t="str">
        <f t="shared" si="56"/>
        <v/>
      </c>
      <c r="C496" s="148" t="str">
        <f t="shared" si="62"/>
        <v/>
      </c>
      <c r="D496" s="148" t="str">
        <f t="shared" si="57"/>
        <v/>
      </c>
      <c r="E496" s="149" t="e">
        <f t="shared" si="58"/>
        <v>#VALUE!</v>
      </c>
      <c r="F496" s="148" t="e">
        <f t="shared" si="59"/>
        <v>#VALUE!</v>
      </c>
      <c r="G496" s="148" t="str">
        <f t="shared" si="60"/>
        <v/>
      </c>
      <c r="H496" s="148" t="str">
        <f t="shared" si="63"/>
        <v/>
      </c>
      <c r="I496" s="148" t="e">
        <f t="shared" si="61"/>
        <v>#VALUE!</v>
      </c>
      <c r="J496" s="148">
        <f>SUM($H$18:$H496)</f>
        <v>0</v>
      </c>
    </row>
    <row r="497" spans="1:10" x14ac:dyDescent="0.2">
      <c r="A497" s="151" t="str">
        <f>IF(Values_Entered,A496+1,"")</f>
        <v/>
      </c>
      <c r="B497" s="150" t="str">
        <f t="shared" si="56"/>
        <v/>
      </c>
      <c r="C497" s="148" t="str">
        <f t="shared" si="62"/>
        <v/>
      </c>
      <c r="D497" s="148" t="str">
        <f t="shared" si="57"/>
        <v/>
      </c>
      <c r="E497" s="149" t="e">
        <f t="shared" si="58"/>
        <v>#VALUE!</v>
      </c>
      <c r="F497" s="148" t="e">
        <f t="shared" si="59"/>
        <v>#VALUE!</v>
      </c>
      <c r="G497" s="148" t="str">
        <f t="shared" si="60"/>
        <v/>
      </c>
      <c r="H497" s="148" t="str">
        <f t="shared" si="63"/>
        <v/>
      </c>
      <c r="I497" s="148" t="e">
        <f t="shared" si="61"/>
        <v>#VALUE!</v>
      </c>
      <c r="J497" s="148">
        <f>SUM($H$18:$H497)</f>
        <v>0</v>
      </c>
    </row>
  </sheetData>
  <sheetProtection sheet="1" objects="1" scenarios="1" selectLockedCells="1"/>
  <mergeCells count="3">
    <mergeCell ref="C12:D12"/>
    <mergeCell ref="B4:D4"/>
    <mergeCell ref="H4:J4"/>
  </mergeCells>
  <conditionalFormatting sqref="A18:E497">
    <cfRule type="expression" dxfId="10" priority="1" stopIfTrue="1">
      <formula>IF(ROW(A18)&gt;Last_Row,TRUE, FALSE)</formula>
    </cfRule>
    <cfRule type="expression" dxfId="9" priority="2" stopIfTrue="1">
      <formula>IF(ROW(A18)=Last_Row,TRUE, FALSE)</formula>
    </cfRule>
    <cfRule type="expression" dxfId="8" priority="3" stopIfTrue="1">
      <formula>IF(ROW(A18)&lt;Last_Row,TRUE, FALSE)</formula>
    </cfRule>
  </conditionalFormatting>
  <conditionalFormatting sqref="F18:J497">
    <cfRule type="expression" dxfId="7" priority="4" stopIfTrue="1">
      <formula>IF(ROW(F18)&gt;Last_Row,TRUE, FALSE)</formula>
    </cfRule>
    <cfRule type="expression" dxfId="6" priority="5" stopIfTrue="1">
      <formula>IF(ROW(F18)=Last_Row,TRUE, FALSE)</formula>
    </cfRule>
    <cfRule type="expression" dxfId="5" priority="6" stopIfTrue="1">
      <formula>IF(ROW(F18)&lt;=Last_Row,TRUE, FALSE)</formula>
    </cfRule>
  </conditionalFormatting>
  <dataValidations count="3">
    <dataValidation allowBlank="1" showInputMessage="1" showErrorMessage="1" promptTitle="Extra Payments" prompt="Enter an amount here if you want to make additional principal payments every pay period._x000a__x000a_For occasional extra payments, enter the extra principal amounts directly in the 'Extra Payment' column below." sqref="D10" xr:uid="{00000000-0002-0000-0000-000002000000}"/>
    <dataValidation type="date" operator="greaterThanOrEqual" allowBlank="1" showInputMessage="1" showErrorMessage="1" errorTitle="Date" error="Please enter a valid date greater than or equal to January 1, 1900." sqref="D9" xr:uid="{00000000-0002-0000-0000-000001000000}">
      <formula1>1</formula1>
    </dataValidation>
    <dataValidation type="whole" allowBlank="1" showInputMessage="1" showErrorMessage="1" errorTitle="Years" error="Please enter a whole number of years from 1 to 40." sqref="D7" xr:uid="{00000000-0002-0000-0000-000000000000}">
      <formula1>1</formula1>
      <formula2>40</formula2>
    </dataValidation>
  </dataValidations>
  <pageMargins left="0.5" right="0.5" top="0.5" bottom="0.5" header="0.5" footer="0.5"/>
  <pageSetup scale="80" orientation="landscape"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B884A-E909-407F-B836-9CC664701422}">
  <sheetPr codeName="Sheet3">
    <tabColor rgb="FF00B0F0"/>
  </sheetPr>
  <dimension ref="A1:T42"/>
  <sheetViews>
    <sheetView zoomScaleNormal="100" workbookViewId="0">
      <selection activeCell="H38" sqref="H38"/>
    </sheetView>
  </sheetViews>
  <sheetFormatPr defaultRowHeight="12.75" x14ac:dyDescent="0.2"/>
  <cols>
    <col min="1" max="1" width="18" style="116" bestFit="1" customWidth="1"/>
    <col min="2" max="18" width="10.7109375" style="116" customWidth="1"/>
    <col min="19" max="19" width="16.85546875" style="116" bestFit="1" customWidth="1"/>
    <col min="20" max="20" width="8.28515625" style="116" bestFit="1" customWidth="1"/>
    <col min="21" max="16384" width="9.140625" style="116"/>
  </cols>
  <sheetData>
    <row r="1" spans="1:20" x14ac:dyDescent="0.2">
      <c r="A1" s="123"/>
      <c r="B1" s="123" t="s">
        <v>246</v>
      </c>
      <c r="C1" s="123" t="s">
        <v>245</v>
      </c>
      <c r="D1" s="123" t="s">
        <v>245</v>
      </c>
      <c r="E1" s="123" t="s">
        <v>245</v>
      </c>
      <c r="F1" s="123" t="s">
        <v>245</v>
      </c>
      <c r="G1" s="123" t="s">
        <v>245</v>
      </c>
      <c r="H1" s="123" t="s">
        <v>245</v>
      </c>
      <c r="I1" s="123" t="s">
        <v>245</v>
      </c>
      <c r="J1" s="123" t="s">
        <v>245</v>
      </c>
      <c r="K1" s="123" t="s">
        <v>245</v>
      </c>
      <c r="L1" s="123" t="s">
        <v>245</v>
      </c>
      <c r="M1" s="123" t="s">
        <v>245</v>
      </c>
      <c r="N1" s="123" t="s">
        <v>245</v>
      </c>
      <c r="O1" s="123" t="s">
        <v>245</v>
      </c>
      <c r="P1" s="123" t="s">
        <v>245</v>
      </c>
      <c r="Q1" s="123" t="s">
        <v>245</v>
      </c>
      <c r="R1" s="123" t="s">
        <v>245</v>
      </c>
      <c r="S1" s="120"/>
    </row>
    <row r="2" spans="1:20" x14ac:dyDescent="0.2">
      <c r="A2" s="123" t="s">
        <v>244</v>
      </c>
      <c r="B2" s="125">
        <v>1000</v>
      </c>
      <c r="C2" s="126">
        <v>973.87</v>
      </c>
      <c r="D2" s="126"/>
      <c r="E2" s="126"/>
      <c r="F2" s="126"/>
      <c r="G2" s="126"/>
      <c r="H2" s="126"/>
      <c r="I2" s="126"/>
      <c r="J2" s="126"/>
      <c r="K2" s="126"/>
      <c r="L2" s="126"/>
      <c r="M2" s="126"/>
      <c r="N2" s="126"/>
      <c r="O2" s="126"/>
      <c r="P2" s="126"/>
      <c r="Q2" s="126"/>
      <c r="R2" s="126"/>
      <c r="S2" s="120" t="str">
        <f t="shared" ref="S2:S28" si="0">IF(B2-SUM(C2:R2)&gt;0, "Under Budget :)", IF(B2-SUM(C2:R2)&lt;0, "OVER BUDGET!", IF(B2-SUM(C2:R2)=0, "Exactly On Budget", "WTF Mate? ")))</f>
        <v>Under Budget :)</v>
      </c>
      <c r="T2" s="119">
        <f t="shared" ref="T2:T28" si="1">B2-SUM(C2:R2)</f>
        <v>26.129999999999995</v>
      </c>
    </row>
    <row r="3" spans="1:20" x14ac:dyDescent="0.2">
      <c r="A3" s="123" t="s">
        <v>243</v>
      </c>
      <c r="B3" s="125">
        <v>1029</v>
      </c>
      <c r="C3" s="124">
        <v>1029</v>
      </c>
      <c r="D3" s="124"/>
      <c r="E3" s="124"/>
      <c r="F3" s="124"/>
      <c r="G3" s="124"/>
      <c r="H3" s="124"/>
      <c r="I3" s="124"/>
      <c r="J3" s="124"/>
      <c r="K3" s="124"/>
      <c r="L3" s="124"/>
      <c r="M3" s="124"/>
      <c r="N3" s="124"/>
      <c r="O3" s="124"/>
      <c r="P3" s="124"/>
      <c r="Q3" s="124"/>
      <c r="R3" s="124"/>
      <c r="S3" s="120" t="str">
        <f t="shared" si="0"/>
        <v>Exactly On Budget</v>
      </c>
      <c r="T3" s="119">
        <f t="shared" si="1"/>
        <v>0</v>
      </c>
    </row>
    <row r="4" spans="1:20" x14ac:dyDescent="0.2">
      <c r="A4" s="123" t="s">
        <v>242</v>
      </c>
      <c r="B4" s="125">
        <v>280</v>
      </c>
      <c r="C4" s="126">
        <v>295</v>
      </c>
      <c r="D4" s="126"/>
      <c r="E4" s="126"/>
      <c r="F4" s="126"/>
      <c r="G4" s="126"/>
      <c r="H4" s="126"/>
      <c r="I4" s="126"/>
      <c r="J4" s="126"/>
      <c r="K4" s="126"/>
      <c r="L4" s="126"/>
      <c r="M4" s="126"/>
      <c r="N4" s="126"/>
      <c r="O4" s="126"/>
      <c r="P4" s="126"/>
      <c r="Q4" s="126"/>
      <c r="R4" s="126"/>
      <c r="S4" s="120" t="str">
        <f t="shared" si="0"/>
        <v>OVER BUDGET!</v>
      </c>
      <c r="T4" s="119">
        <f t="shared" si="1"/>
        <v>-15</v>
      </c>
    </row>
    <row r="5" spans="1:20" x14ac:dyDescent="0.2">
      <c r="A5" s="123" t="s">
        <v>241</v>
      </c>
      <c r="B5" s="125">
        <v>50</v>
      </c>
      <c r="C5" s="124">
        <v>10.75</v>
      </c>
      <c r="D5" s="124">
        <v>5.15</v>
      </c>
      <c r="E5" s="124">
        <v>3.75</v>
      </c>
      <c r="F5" s="124">
        <v>25.18</v>
      </c>
      <c r="G5" s="124"/>
      <c r="H5" s="124"/>
      <c r="I5" s="124"/>
      <c r="J5" s="124"/>
      <c r="K5" s="124"/>
      <c r="L5" s="124"/>
      <c r="M5" s="124"/>
      <c r="N5" s="124"/>
      <c r="O5" s="124"/>
      <c r="P5" s="124"/>
      <c r="Q5" s="124"/>
      <c r="R5" s="124"/>
      <c r="S5" s="120" t="str">
        <f t="shared" si="0"/>
        <v>Under Budget :)</v>
      </c>
      <c r="T5" s="119">
        <f t="shared" si="1"/>
        <v>5.1700000000000017</v>
      </c>
    </row>
    <row r="6" spans="1:20" x14ac:dyDescent="0.2">
      <c r="A6" s="123" t="s">
        <v>240</v>
      </c>
      <c r="B6" s="125">
        <v>100</v>
      </c>
      <c r="C6" s="126">
        <v>30</v>
      </c>
      <c r="D6" s="126">
        <v>25.77</v>
      </c>
      <c r="E6" s="126"/>
      <c r="F6" s="126"/>
      <c r="G6" s="126"/>
      <c r="H6" s="126"/>
      <c r="I6" s="126"/>
      <c r="J6" s="126"/>
      <c r="K6" s="126"/>
      <c r="L6" s="126"/>
      <c r="M6" s="126"/>
      <c r="N6" s="126"/>
      <c r="O6" s="126"/>
      <c r="P6" s="126"/>
      <c r="Q6" s="126"/>
      <c r="R6" s="126"/>
      <c r="S6" s="120" t="str">
        <f t="shared" si="0"/>
        <v>Under Budget :)</v>
      </c>
      <c r="T6" s="119">
        <f t="shared" si="1"/>
        <v>44.230000000000004</v>
      </c>
    </row>
    <row r="7" spans="1:20" x14ac:dyDescent="0.2">
      <c r="A7" s="123" t="s">
        <v>239</v>
      </c>
      <c r="B7" s="125">
        <v>100</v>
      </c>
      <c r="C7" s="124">
        <v>15.37</v>
      </c>
      <c r="D7" s="124">
        <v>29.99</v>
      </c>
      <c r="E7" s="124">
        <v>45.99</v>
      </c>
      <c r="F7" s="124"/>
      <c r="G7" s="124"/>
      <c r="H7" s="124"/>
      <c r="I7" s="124"/>
      <c r="J7" s="124"/>
      <c r="K7" s="124"/>
      <c r="L7" s="124"/>
      <c r="M7" s="124"/>
      <c r="N7" s="124"/>
      <c r="O7" s="124"/>
      <c r="P7" s="124"/>
      <c r="Q7" s="124"/>
      <c r="R7" s="124"/>
      <c r="S7" s="120" t="str">
        <f t="shared" si="0"/>
        <v>Under Budget :)</v>
      </c>
      <c r="T7" s="119">
        <f t="shared" si="1"/>
        <v>8.6500000000000057</v>
      </c>
    </row>
    <row r="8" spans="1:20" x14ac:dyDescent="0.2">
      <c r="A8" s="123" t="s">
        <v>238</v>
      </c>
      <c r="B8" s="125">
        <v>100</v>
      </c>
      <c r="C8" s="126">
        <v>27.84</v>
      </c>
      <c r="D8" s="126">
        <v>38</v>
      </c>
      <c r="E8" s="126">
        <v>43.18</v>
      </c>
      <c r="F8" s="126"/>
      <c r="G8" s="126"/>
      <c r="H8" s="126"/>
      <c r="I8" s="126"/>
      <c r="J8" s="126"/>
      <c r="K8" s="126"/>
      <c r="L8" s="126"/>
      <c r="M8" s="126"/>
      <c r="N8" s="126"/>
      <c r="O8" s="126"/>
      <c r="P8" s="126"/>
      <c r="Q8" s="126"/>
      <c r="R8" s="126"/>
      <c r="S8" s="120" t="str">
        <f t="shared" si="0"/>
        <v>OVER BUDGET!</v>
      </c>
      <c r="T8" s="119">
        <f t="shared" si="1"/>
        <v>-9.0200000000000102</v>
      </c>
    </row>
    <row r="9" spans="1:20" x14ac:dyDescent="0.2">
      <c r="A9" s="123" t="s">
        <v>237</v>
      </c>
      <c r="B9" s="125">
        <v>100</v>
      </c>
      <c r="C9" s="124">
        <v>12</v>
      </c>
      <c r="D9" s="124">
        <v>21.85</v>
      </c>
      <c r="E9" s="124">
        <v>45</v>
      </c>
      <c r="F9" s="124"/>
      <c r="G9" s="124"/>
      <c r="H9" s="124"/>
      <c r="I9" s="124"/>
      <c r="J9" s="124"/>
      <c r="K9" s="124"/>
      <c r="L9" s="124"/>
      <c r="M9" s="124"/>
      <c r="N9" s="124"/>
      <c r="O9" s="124"/>
      <c r="P9" s="124"/>
      <c r="Q9" s="124"/>
      <c r="R9" s="124"/>
      <c r="S9" s="120" t="str">
        <f t="shared" si="0"/>
        <v>Under Budget :)</v>
      </c>
      <c r="T9" s="119">
        <f t="shared" si="1"/>
        <v>21.150000000000006</v>
      </c>
    </row>
    <row r="10" spans="1:20" x14ac:dyDescent="0.2">
      <c r="A10" s="123" t="s">
        <v>236</v>
      </c>
      <c r="B10" s="125">
        <v>100</v>
      </c>
      <c r="C10" s="126">
        <v>45</v>
      </c>
      <c r="D10" s="126">
        <v>14.99</v>
      </c>
      <c r="E10" s="126">
        <v>35.78</v>
      </c>
      <c r="F10" s="126"/>
      <c r="G10" s="126"/>
      <c r="H10" s="126"/>
      <c r="I10" s="126"/>
      <c r="J10" s="126"/>
      <c r="K10" s="126"/>
      <c r="L10" s="126"/>
      <c r="M10" s="126"/>
      <c r="N10" s="126"/>
      <c r="O10" s="126"/>
      <c r="P10" s="126"/>
      <c r="Q10" s="126"/>
      <c r="R10" s="126"/>
      <c r="S10" s="120" t="str">
        <f t="shared" si="0"/>
        <v>Under Budget :)</v>
      </c>
      <c r="T10" s="119">
        <f t="shared" si="1"/>
        <v>4.2299999999999898</v>
      </c>
    </row>
    <row r="11" spans="1:20" x14ac:dyDescent="0.2">
      <c r="A11" s="123" t="s">
        <v>235</v>
      </c>
      <c r="B11" s="125">
        <v>150</v>
      </c>
      <c r="C11" s="124">
        <v>15</v>
      </c>
      <c r="D11" s="124">
        <v>22.81</v>
      </c>
      <c r="E11" s="124">
        <v>129.55000000000001</v>
      </c>
      <c r="F11" s="124"/>
      <c r="G11" s="124"/>
      <c r="H11" s="124"/>
      <c r="I11" s="124"/>
      <c r="J11" s="124"/>
      <c r="K11" s="124"/>
      <c r="L11" s="124"/>
      <c r="M11" s="124"/>
      <c r="N11" s="124"/>
      <c r="O11" s="124"/>
      <c r="P11" s="124"/>
      <c r="Q11" s="124"/>
      <c r="R11" s="124"/>
      <c r="S11" s="120" t="str">
        <f t="shared" si="0"/>
        <v>OVER BUDGET!</v>
      </c>
      <c r="T11" s="119">
        <f t="shared" si="1"/>
        <v>-17.360000000000014</v>
      </c>
    </row>
    <row r="12" spans="1:20" x14ac:dyDescent="0.2">
      <c r="A12" s="123" t="s">
        <v>234</v>
      </c>
      <c r="B12" s="125">
        <v>150</v>
      </c>
      <c r="C12" s="126">
        <v>15</v>
      </c>
      <c r="D12" s="126">
        <v>21.85</v>
      </c>
      <c r="E12" s="126">
        <v>110.2</v>
      </c>
      <c r="F12" s="126"/>
      <c r="G12" s="126"/>
      <c r="H12" s="126"/>
      <c r="I12" s="126"/>
      <c r="J12" s="126"/>
      <c r="K12" s="126"/>
      <c r="L12" s="126"/>
      <c r="M12" s="126"/>
      <c r="N12" s="126"/>
      <c r="O12" s="126"/>
      <c r="P12" s="126"/>
      <c r="Q12" s="126"/>
      <c r="R12" s="126"/>
      <c r="S12" s="120" t="str">
        <f t="shared" si="0"/>
        <v>Under Budget :)</v>
      </c>
      <c r="T12" s="119">
        <f t="shared" si="1"/>
        <v>2.9499999999999886</v>
      </c>
    </row>
    <row r="13" spans="1:20" x14ac:dyDescent="0.2">
      <c r="A13" s="123" t="s">
        <v>233</v>
      </c>
      <c r="B13" s="125">
        <v>50</v>
      </c>
      <c r="C13" s="124">
        <v>5.18</v>
      </c>
      <c r="D13" s="124">
        <v>11.25</v>
      </c>
      <c r="E13" s="124">
        <v>3.25</v>
      </c>
      <c r="F13" s="124">
        <v>2.25</v>
      </c>
      <c r="G13" s="124">
        <v>19.989999999999998</v>
      </c>
      <c r="H13" s="124"/>
      <c r="I13" s="124"/>
      <c r="J13" s="124"/>
      <c r="K13" s="124"/>
      <c r="L13" s="124"/>
      <c r="M13" s="124"/>
      <c r="N13" s="124"/>
      <c r="O13" s="124"/>
      <c r="P13" s="124"/>
      <c r="Q13" s="124"/>
      <c r="R13" s="124"/>
      <c r="S13" s="120" t="str">
        <f t="shared" si="0"/>
        <v>Under Budget :)</v>
      </c>
      <c r="T13" s="119">
        <f t="shared" si="1"/>
        <v>8.0799999999999983</v>
      </c>
    </row>
    <row r="14" spans="1:20" x14ac:dyDescent="0.2">
      <c r="A14" s="123" t="s">
        <v>232</v>
      </c>
      <c r="B14" s="125">
        <v>180</v>
      </c>
      <c r="C14" s="126">
        <v>180</v>
      </c>
      <c r="D14" s="126"/>
      <c r="E14" s="126"/>
      <c r="F14" s="126"/>
      <c r="G14" s="126"/>
      <c r="H14" s="126"/>
      <c r="I14" s="126"/>
      <c r="J14" s="126"/>
      <c r="K14" s="126"/>
      <c r="L14" s="126"/>
      <c r="M14" s="126"/>
      <c r="N14" s="126"/>
      <c r="O14" s="126"/>
      <c r="P14" s="126"/>
      <c r="Q14" s="126"/>
      <c r="R14" s="126"/>
      <c r="S14" s="120" t="str">
        <f t="shared" si="0"/>
        <v>Exactly On Budget</v>
      </c>
      <c r="T14" s="119">
        <f t="shared" si="1"/>
        <v>0</v>
      </c>
    </row>
    <row r="15" spans="1:20" x14ac:dyDescent="0.2">
      <c r="A15" s="123" t="s">
        <v>231</v>
      </c>
      <c r="B15" s="125">
        <v>100</v>
      </c>
      <c r="C15" s="124">
        <v>15.99</v>
      </c>
      <c r="D15" s="124">
        <v>12.99</v>
      </c>
      <c r="E15" s="124">
        <v>0.99</v>
      </c>
      <c r="F15" s="124">
        <v>3.18</v>
      </c>
      <c r="G15" s="124">
        <v>10</v>
      </c>
      <c r="H15" s="124">
        <v>15</v>
      </c>
      <c r="I15" s="124">
        <v>25</v>
      </c>
      <c r="J15" s="124">
        <v>7.58</v>
      </c>
      <c r="K15" s="124">
        <v>12.83</v>
      </c>
      <c r="L15" s="124"/>
      <c r="M15" s="124"/>
      <c r="N15" s="124"/>
      <c r="O15" s="124"/>
      <c r="P15" s="124"/>
      <c r="Q15" s="124"/>
      <c r="R15" s="124"/>
      <c r="S15" s="120" t="str">
        <f t="shared" si="0"/>
        <v>OVER BUDGET!</v>
      </c>
      <c r="T15" s="119">
        <f t="shared" si="1"/>
        <v>-3.5600000000000023</v>
      </c>
    </row>
    <row r="16" spans="1:20" x14ac:dyDescent="0.2">
      <c r="A16" s="123" t="s">
        <v>230</v>
      </c>
      <c r="B16" s="125">
        <v>200</v>
      </c>
      <c r="C16" s="126">
        <v>55</v>
      </c>
      <c r="D16" s="126">
        <v>21.95</v>
      </c>
      <c r="E16" s="126">
        <v>18.989999999999998</v>
      </c>
      <c r="F16" s="126">
        <v>22.74</v>
      </c>
      <c r="G16" s="126">
        <v>11.43</v>
      </c>
      <c r="H16" s="126">
        <v>5</v>
      </c>
      <c r="I16" s="126">
        <v>5</v>
      </c>
      <c r="J16" s="126">
        <v>5</v>
      </c>
      <c r="K16" s="126">
        <v>5</v>
      </c>
      <c r="L16" s="126">
        <v>5</v>
      </c>
      <c r="M16" s="126">
        <v>1</v>
      </c>
      <c r="N16" s="126">
        <v>1</v>
      </c>
      <c r="O16" s="126">
        <v>1</v>
      </c>
      <c r="P16" s="126">
        <v>1</v>
      </c>
      <c r="Q16" s="126">
        <v>1</v>
      </c>
      <c r="R16" s="126"/>
      <c r="S16" s="120" t="str">
        <f t="shared" si="0"/>
        <v>Under Budget :)</v>
      </c>
      <c r="T16" s="119">
        <f t="shared" si="1"/>
        <v>39.890000000000015</v>
      </c>
    </row>
    <row r="17" spans="1:20" x14ac:dyDescent="0.2">
      <c r="A17" s="123" t="s">
        <v>229</v>
      </c>
      <c r="B17" s="125">
        <v>300</v>
      </c>
      <c r="C17" s="124">
        <v>185</v>
      </c>
      <c r="D17" s="124">
        <v>200</v>
      </c>
      <c r="E17" s="124"/>
      <c r="F17" s="124"/>
      <c r="G17" s="124"/>
      <c r="H17" s="124"/>
      <c r="I17" s="124"/>
      <c r="J17" s="124"/>
      <c r="K17" s="124"/>
      <c r="L17" s="124"/>
      <c r="M17" s="124"/>
      <c r="N17" s="124"/>
      <c r="O17" s="124"/>
      <c r="P17" s="124"/>
      <c r="Q17" s="124"/>
      <c r="R17" s="124"/>
      <c r="S17" s="120" t="str">
        <f t="shared" si="0"/>
        <v>OVER BUDGET!</v>
      </c>
      <c r="T17" s="119">
        <f t="shared" si="1"/>
        <v>-85</v>
      </c>
    </row>
    <row r="18" spans="1:20" x14ac:dyDescent="0.2">
      <c r="A18" s="123" t="s">
        <v>256</v>
      </c>
      <c r="B18" s="125">
        <v>0</v>
      </c>
      <c r="C18" s="126"/>
      <c r="D18" s="126"/>
      <c r="E18" s="126"/>
      <c r="F18" s="126"/>
      <c r="G18" s="126"/>
      <c r="H18" s="126"/>
      <c r="I18" s="126"/>
      <c r="J18" s="126"/>
      <c r="K18" s="126"/>
      <c r="L18" s="126"/>
      <c r="M18" s="126"/>
      <c r="N18" s="126"/>
      <c r="O18" s="126"/>
      <c r="P18" s="126"/>
      <c r="Q18" s="126"/>
      <c r="R18" s="126"/>
      <c r="S18" s="120" t="str">
        <f t="shared" si="0"/>
        <v>Exactly On Budget</v>
      </c>
      <c r="T18" s="119">
        <f t="shared" si="1"/>
        <v>0</v>
      </c>
    </row>
    <row r="19" spans="1:20" x14ac:dyDescent="0.2">
      <c r="A19" s="123" t="s">
        <v>256</v>
      </c>
      <c r="B19" s="125">
        <v>0</v>
      </c>
      <c r="C19" s="124"/>
      <c r="D19" s="124"/>
      <c r="E19" s="124"/>
      <c r="F19" s="124"/>
      <c r="G19" s="124"/>
      <c r="H19" s="124"/>
      <c r="I19" s="124"/>
      <c r="J19" s="124"/>
      <c r="K19" s="124"/>
      <c r="L19" s="124"/>
      <c r="M19" s="124"/>
      <c r="N19" s="124"/>
      <c r="O19" s="124"/>
      <c r="P19" s="124"/>
      <c r="Q19" s="124"/>
      <c r="R19" s="124"/>
      <c r="S19" s="120" t="str">
        <f t="shared" si="0"/>
        <v>Exactly On Budget</v>
      </c>
      <c r="T19" s="119">
        <f t="shared" si="1"/>
        <v>0</v>
      </c>
    </row>
    <row r="20" spans="1:20" x14ac:dyDescent="0.2">
      <c r="A20" s="123" t="s">
        <v>256</v>
      </c>
      <c r="B20" s="125">
        <v>0</v>
      </c>
      <c r="C20" s="126"/>
      <c r="D20" s="126"/>
      <c r="E20" s="126"/>
      <c r="F20" s="126"/>
      <c r="G20" s="126"/>
      <c r="H20" s="126"/>
      <c r="I20" s="126"/>
      <c r="J20" s="126"/>
      <c r="K20" s="126"/>
      <c r="L20" s="126"/>
      <c r="M20" s="126"/>
      <c r="N20" s="126"/>
      <c r="O20" s="126"/>
      <c r="P20" s="126"/>
      <c r="Q20" s="126"/>
      <c r="R20" s="126"/>
      <c r="S20" s="120" t="str">
        <f t="shared" si="0"/>
        <v>Exactly On Budget</v>
      </c>
      <c r="T20" s="119">
        <f t="shared" si="1"/>
        <v>0</v>
      </c>
    </row>
    <row r="21" spans="1:20" x14ac:dyDescent="0.2">
      <c r="A21" s="123" t="s">
        <v>256</v>
      </c>
      <c r="B21" s="125">
        <v>0</v>
      </c>
      <c r="C21" s="124"/>
      <c r="D21" s="124"/>
      <c r="E21" s="124"/>
      <c r="F21" s="124"/>
      <c r="G21" s="124"/>
      <c r="H21" s="124"/>
      <c r="I21" s="124"/>
      <c r="J21" s="124"/>
      <c r="K21" s="124"/>
      <c r="L21" s="124"/>
      <c r="M21" s="124"/>
      <c r="N21" s="124"/>
      <c r="O21" s="124"/>
      <c r="P21" s="124"/>
      <c r="Q21" s="124"/>
      <c r="R21" s="124"/>
      <c r="S21" s="120" t="str">
        <f t="shared" si="0"/>
        <v>Exactly On Budget</v>
      </c>
      <c r="T21" s="119">
        <f t="shared" si="1"/>
        <v>0</v>
      </c>
    </row>
    <row r="22" spans="1:20" x14ac:dyDescent="0.2">
      <c r="A22" s="123" t="s">
        <v>256</v>
      </c>
      <c r="B22" s="125">
        <v>0</v>
      </c>
      <c r="C22" s="126"/>
      <c r="D22" s="126"/>
      <c r="E22" s="126"/>
      <c r="F22" s="126"/>
      <c r="G22" s="126"/>
      <c r="H22" s="126"/>
      <c r="I22" s="126"/>
      <c r="J22" s="126"/>
      <c r="K22" s="126"/>
      <c r="L22" s="126"/>
      <c r="M22" s="126"/>
      <c r="N22" s="126"/>
      <c r="O22" s="126"/>
      <c r="P22" s="126"/>
      <c r="Q22" s="126"/>
      <c r="R22" s="126"/>
      <c r="S22" s="120" t="str">
        <f t="shared" si="0"/>
        <v>Exactly On Budget</v>
      </c>
      <c r="T22" s="119">
        <f t="shared" si="1"/>
        <v>0</v>
      </c>
    </row>
    <row r="23" spans="1:20" x14ac:dyDescent="0.2">
      <c r="A23" s="123" t="s">
        <v>256</v>
      </c>
      <c r="B23" s="125">
        <v>0</v>
      </c>
      <c r="C23" s="124"/>
      <c r="D23" s="124"/>
      <c r="E23" s="124"/>
      <c r="F23" s="124"/>
      <c r="G23" s="124"/>
      <c r="H23" s="124"/>
      <c r="I23" s="124"/>
      <c r="J23" s="124"/>
      <c r="K23" s="124"/>
      <c r="L23" s="124"/>
      <c r="M23" s="124"/>
      <c r="N23" s="124"/>
      <c r="O23" s="124"/>
      <c r="P23" s="124"/>
      <c r="Q23" s="124"/>
      <c r="R23" s="124"/>
      <c r="S23" s="120" t="str">
        <f t="shared" si="0"/>
        <v>Exactly On Budget</v>
      </c>
      <c r="T23" s="119">
        <f t="shared" si="1"/>
        <v>0</v>
      </c>
    </row>
    <row r="24" spans="1:20" x14ac:dyDescent="0.2">
      <c r="A24" s="123" t="s">
        <v>256</v>
      </c>
      <c r="B24" s="125">
        <v>0</v>
      </c>
      <c r="C24" s="126"/>
      <c r="D24" s="126"/>
      <c r="E24" s="126"/>
      <c r="F24" s="126"/>
      <c r="G24" s="126"/>
      <c r="H24" s="126"/>
      <c r="I24" s="126"/>
      <c r="J24" s="126"/>
      <c r="K24" s="126"/>
      <c r="L24" s="126"/>
      <c r="M24" s="126"/>
      <c r="N24" s="126"/>
      <c r="O24" s="126"/>
      <c r="P24" s="126"/>
      <c r="Q24" s="126"/>
      <c r="R24" s="126"/>
      <c r="S24" s="120" t="str">
        <f t="shared" si="0"/>
        <v>Exactly On Budget</v>
      </c>
      <c r="T24" s="119">
        <f t="shared" si="1"/>
        <v>0</v>
      </c>
    </row>
    <row r="25" spans="1:20" x14ac:dyDescent="0.2">
      <c r="A25" s="123" t="s">
        <v>256</v>
      </c>
      <c r="B25" s="125">
        <v>0</v>
      </c>
      <c r="C25" s="124"/>
      <c r="D25" s="124"/>
      <c r="E25" s="124"/>
      <c r="F25" s="124"/>
      <c r="G25" s="124"/>
      <c r="H25" s="124"/>
      <c r="I25" s="124"/>
      <c r="J25" s="124"/>
      <c r="K25" s="124"/>
      <c r="L25" s="124"/>
      <c r="M25" s="124"/>
      <c r="N25" s="124"/>
      <c r="O25" s="124"/>
      <c r="P25" s="124"/>
      <c r="Q25" s="124"/>
      <c r="R25" s="124"/>
      <c r="S25" s="120" t="str">
        <f t="shared" si="0"/>
        <v>Exactly On Budget</v>
      </c>
      <c r="T25" s="119">
        <f t="shared" si="1"/>
        <v>0</v>
      </c>
    </row>
    <row r="26" spans="1:20" x14ac:dyDescent="0.2">
      <c r="A26" s="123" t="s">
        <v>256</v>
      </c>
      <c r="B26" s="125">
        <v>0</v>
      </c>
      <c r="C26" s="126"/>
      <c r="D26" s="126"/>
      <c r="E26" s="126"/>
      <c r="F26" s="126"/>
      <c r="G26" s="126"/>
      <c r="H26" s="126"/>
      <c r="I26" s="126"/>
      <c r="J26" s="126"/>
      <c r="K26" s="126"/>
      <c r="L26" s="126"/>
      <c r="M26" s="126"/>
      <c r="N26" s="126"/>
      <c r="O26" s="126"/>
      <c r="P26" s="126"/>
      <c r="Q26" s="126"/>
      <c r="R26" s="126"/>
      <c r="S26" s="120" t="str">
        <f t="shared" si="0"/>
        <v>Exactly On Budget</v>
      </c>
      <c r="T26" s="119">
        <f t="shared" si="1"/>
        <v>0</v>
      </c>
    </row>
    <row r="27" spans="1:20" x14ac:dyDescent="0.2">
      <c r="A27" s="123" t="s">
        <v>256</v>
      </c>
      <c r="B27" s="125">
        <v>0</v>
      </c>
      <c r="C27" s="124"/>
      <c r="D27" s="124"/>
      <c r="E27" s="124"/>
      <c r="F27" s="124"/>
      <c r="G27" s="124"/>
      <c r="H27" s="124"/>
      <c r="I27" s="124"/>
      <c r="J27" s="124"/>
      <c r="K27" s="124"/>
      <c r="L27" s="124"/>
      <c r="M27" s="124"/>
      <c r="N27" s="124"/>
      <c r="O27" s="124"/>
      <c r="P27" s="124"/>
      <c r="Q27" s="124"/>
      <c r="R27" s="124"/>
      <c r="S27" s="120" t="str">
        <f t="shared" si="0"/>
        <v>Exactly On Budget</v>
      </c>
      <c r="T27" s="119">
        <f t="shared" si="1"/>
        <v>0</v>
      </c>
    </row>
    <row r="28" spans="1:20" x14ac:dyDescent="0.2">
      <c r="A28" s="123" t="s">
        <v>27</v>
      </c>
      <c r="B28" s="122">
        <f t="shared" ref="B28:R28" si="2">SUM(B2:B27)</f>
        <v>3989</v>
      </c>
      <c r="C28" s="121">
        <f t="shared" si="2"/>
        <v>2909.9999999999995</v>
      </c>
      <c r="D28" s="121">
        <f t="shared" si="2"/>
        <v>426.6</v>
      </c>
      <c r="E28" s="121">
        <f t="shared" si="2"/>
        <v>436.68</v>
      </c>
      <c r="F28" s="121">
        <f t="shared" si="2"/>
        <v>53.349999999999994</v>
      </c>
      <c r="G28" s="121">
        <f t="shared" si="2"/>
        <v>41.42</v>
      </c>
      <c r="H28" s="121">
        <f t="shared" si="2"/>
        <v>20</v>
      </c>
      <c r="I28" s="121">
        <f t="shared" si="2"/>
        <v>30</v>
      </c>
      <c r="J28" s="121">
        <f t="shared" si="2"/>
        <v>12.58</v>
      </c>
      <c r="K28" s="121">
        <f t="shared" si="2"/>
        <v>17.829999999999998</v>
      </c>
      <c r="L28" s="121">
        <f t="shared" si="2"/>
        <v>5</v>
      </c>
      <c r="M28" s="121">
        <f t="shared" si="2"/>
        <v>1</v>
      </c>
      <c r="N28" s="121">
        <f t="shared" si="2"/>
        <v>1</v>
      </c>
      <c r="O28" s="121">
        <f t="shared" si="2"/>
        <v>1</v>
      </c>
      <c r="P28" s="121">
        <f t="shared" si="2"/>
        <v>1</v>
      </c>
      <c r="Q28" s="121">
        <f t="shared" si="2"/>
        <v>1</v>
      </c>
      <c r="R28" s="121">
        <f t="shared" si="2"/>
        <v>0</v>
      </c>
      <c r="S28" s="120" t="str">
        <f t="shared" si="0"/>
        <v>Under Budget :)</v>
      </c>
      <c r="T28" s="119">
        <f t="shared" si="1"/>
        <v>30.540000000000873</v>
      </c>
    </row>
    <row r="29" spans="1:20" x14ac:dyDescent="0.2">
      <c r="S29" s="118">
        <f>SUM(C2:R27)</f>
        <v>3958.4599999999969</v>
      </c>
      <c r="T29" s="116" t="s">
        <v>228</v>
      </c>
    </row>
    <row r="37" spans="3:3" x14ac:dyDescent="0.2">
      <c r="C37" s="117"/>
    </row>
    <row r="38" spans="3:3" x14ac:dyDescent="0.2">
      <c r="C38" s="117"/>
    </row>
    <row r="39" spans="3:3" x14ac:dyDescent="0.2">
      <c r="C39" s="117"/>
    </row>
    <row r="40" spans="3:3" x14ac:dyDescent="0.2">
      <c r="C40" s="117"/>
    </row>
    <row r="41" spans="3:3" x14ac:dyDescent="0.2">
      <c r="C41" s="117"/>
    </row>
    <row r="42" spans="3:3" x14ac:dyDescent="0.2">
      <c r="C42" s="117"/>
    </row>
  </sheetData>
  <conditionalFormatting sqref="S2:S28">
    <cfRule type="expression" dxfId="4" priority="5">
      <formula>B2-SUM(C2:R2)&gt;0</formula>
    </cfRule>
  </conditionalFormatting>
  <conditionalFormatting sqref="T2:T28">
    <cfRule type="cellIs" dxfId="3" priority="1" operator="equal">
      <formula>0</formula>
    </cfRule>
    <cfRule type="cellIs" dxfId="2" priority="2" operator="lessThan">
      <formula>0</formula>
    </cfRule>
    <cfRule type="cellIs" dxfId="1" priority="3" operator="greaterThan">
      <formula>0</formula>
    </cfRule>
  </conditionalFormatting>
  <conditionalFormatting sqref="S2:T28">
    <cfRule type="expression" dxfId="0" priority="4">
      <formula>B2-SUM(C2:R2)=0</formula>
    </cfRule>
  </conditionalFormatting>
  <pageMargins left="0.7" right="0.7" top="0.75" bottom="0.75" header="0.3" footer="0.3"/>
  <pageSetup orientation="portrait"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22</vt:i4>
      </vt:variant>
    </vt:vector>
  </HeadingPairs>
  <TitlesOfParts>
    <vt:vector size="27" baseType="lpstr">
      <vt:lpstr>How To Use This Sheet</vt:lpstr>
      <vt:lpstr>Variables</vt:lpstr>
      <vt:lpstr>Monthly Rundown</vt:lpstr>
      <vt:lpstr>Loan Amortization Schedule</vt:lpstr>
      <vt:lpstr>Expense Tracker</vt:lpstr>
      <vt:lpstr>Beg_Bal</vt:lpstr>
      <vt:lpstr>Cum_Int</vt:lpstr>
      <vt:lpstr>Data</vt:lpstr>
      <vt:lpstr>End_Bal</vt:lpstr>
      <vt:lpstr>Extra_Pay</vt:lpstr>
      <vt:lpstr>Full_Print</vt:lpstr>
      <vt:lpstr>Int</vt:lpstr>
      <vt:lpstr>Interest_Rate</vt:lpstr>
      <vt:lpstr>Loan_Amount</vt:lpstr>
      <vt:lpstr>Loan_Start</vt:lpstr>
      <vt:lpstr>Loan_Years</vt:lpstr>
      <vt:lpstr>Num_Pmt_Per_Year</vt:lpstr>
      <vt:lpstr>Pay_Date</vt:lpstr>
      <vt:lpstr>Pay_Num</vt:lpstr>
      <vt:lpstr>Princ</vt:lpstr>
      <vt:lpstr>'Loan Amortization Schedule'!Print_Titles</vt:lpstr>
      <vt:lpstr>Sched_Pay</vt:lpstr>
      <vt:lpstr>Scheduled_Extra_Payments</vt:lpstr>
      <vt:lpstr>Scheduled_Interest_Rate</vt:lpstr>
      <vt:lpstr>Scheduled_Monthly_Payment</vt:lpstr>
      <vt:lpstr>Total_Interest</vt:lpstr>
      <vt:lpstr>Total_Pay</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Alex</dc:creator>
  <cp:keywords/>
  <dc:description/>
  <cp:lastModifiedBy>Alex Gallegos</cp:lastModifiedBy>
  <cp:revision/>
  <cp:lastPrinted>2020-08-05T23:38:20Z</cp:lastPrinted>
  <dcterms:created xsi:type="dcterms:W3CDTF">2013-09-13T13:20:35Z</dcterms:created>
  <dcterms:modified xsi:type="dcterms:W3CDTF">2020-08-06T02:04:11Z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FormulaDeskUniqueName">
    <vt:lpwstr>7de44d0e-4adb-4839-bbad-7ce2000e4e1e</vt:lpwstr>
  </property>
</Properties>
</file>